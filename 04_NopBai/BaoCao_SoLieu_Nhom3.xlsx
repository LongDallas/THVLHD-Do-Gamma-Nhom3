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ongTin" sheetId="1" state="visible" r:id="rId3"/>
    <sheet name="SoLieuTho" sheetId="2" state="visible" r:id="rId4"/>
    <sheet name="ThongKe" sheetId="3" state="visible" r:id="rId5"/>
    <sheet name="TanSuat" sheetId="4" state="visible" r:id="rId6"/>
    <sheet name="TocDoTichLuy" sheetId="5" state="visible" r:id="rId7"/>
    <sheet name="DoThi" sheetId="6" state="visible" r:id="rId8"/>
    <sheet name="MonteCarlo" sheetId="7" state="visible" r:id="rId9"/>
    <sheet name="KetQua" sheetId="8" state="visible" r:id="rId10"/>
    <sheet name="PhanCo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Nhóm 3</author>
  </authors>
  <commentList>
    <comment ref="C9" authorId="0">
      <text>
        <r>
          <rPr>
            <sz val="10"/>
            <rFont val="Arial"/>
            <family val="2"/>
          </rPr>
          <t xml:space="preserve">Nguồn: nhóm 1.xlsx, cột G7:G106 (“Font”); phép đo 100 s: ô H7.</t>
        </r>
      </text>
    </comment>
    <comment ref="F9" authorId="0">
      <text>
        <r>
          <rPr>
            <sz val="10"/>
            <rFont val="Arial"/>
            <family val="2"/>
          </rPr>
          <t xml:space="preserve">Nguồn: nhóm 1.xlsx, cột C6:C105 (Ra-226); phép đo 100 s: ô C108.</t>
        </r>
      </text>
    </comment>
    <comment ref="I9" authorId="0">
      <text>
        <r>
          <rPr>
            <sz val="10"/>
            <rFont val="Arial"/>
            <family val="2"/>
          </rPr>
          <t xml:space="preserve">Nguồn: nhóm 1.xlsx, cột A6:A105 (Ra-226); phép đo 100 s: ô A108.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Nhóm 3</author>
  </authors>
  <commentList>
    <comment ref="B27" authorId="0">
      <text>
        <r>
          <rPr>
            <sz val="10"/>
            <rFont val="Arial"/>
            <family val="2"/>
          </rPr>
          <t xml:space="preserve">Số bin có O &gt; 0 (dùng cho χ² công thức 5).</t>
        </r>
      </text>
    </comment>
    <comment ref="I55" authorId="0">
      <text>
        <r>
          <rPr>
            <sz val="10"/>
            <rFont val="Arial"/>
            <family val="2"/>
          </rPr>
          <t xml:space="preserve">Số bin có O &gt; 0 (dùng cho χ² công thức 5).</t>
        </r>
      </text>
    </comment>
    <comment ref="P86" authorId="0">
      <text>
        <r>
          <rPr>
            <sz val="10"/>
            <rFont val="Arial"/>
            <family val="2"/>
          </rPr>
          <t xml:space="preserve">Số bin có O &gt; 0 (dùng cho χ² công thức 5).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Nhóm 3</author>
  </authors>
  <commentList>
    <comment ref="D15" authorId="0">
      <text>
        <r>
          <rPr>
            <sz val="10"/>
            <rFont val="Arial"/>
            <family val="2"/>
          </rPr>
          <t xml:space="preserve">Cột u ở hai dòng χ²: ghi bậc tự do ν.</t>
        </r>
      </text>
    </comment>
  </commentList>
</comments>
</file>

<file path=xl/sharedStrings.xml><?xml version="1.0" encoding="utf-8"?>
<sst xmlns="http://schemas.openxmlformats.org/spreadsheetml/2006/main" count="393" uniqueCount="249">
  <si>
    <t xml:space="preserve">TRƯỜNG ĐẠI HỌC KHOA HỌC TỰ NHIÊN, ĐHQG-HCM  –  KHOA VẬT LÝ – VẬT LÝ KỸ THUẬT</t>
  </si>
  <si>
    <t xml:space="preserve">BIÊN BẢN GHI NHẬN SỐ LIỆU ĐO BỨC XẠ GAMMA</t>
  </si>
  <si>
    <t xml:space="preserve">Mã hồ sơ: THVLHĐ-GM-N3-01   |   Bài: Phân bố thống kê trong phân rã phóng xạ   |   Nhóm 3</t>
  </si>
  <si>
    <t xml:space="preserve">Chú thích:</t>
  </si>
  <si>
    <t xml:space="preserve">Ô nền vàng</t>
  </si>
  <si>
    <t xml:space="preserve">→ thông tin nhóm cần điền/xác nhận. Chữ xanh dương = số liệu nhập tay; chữ đen = công thức; chữ xanh lá = liên kết từ trang khác.</t>
  </si>
  <si>
    <t xml:space="preserve">I</t>
  </si>
  <si>
    <t xml:space="preserve">THÔNG TIN CHUNG</t>
  </si>
  <si>
    <t xml:space="preserve">1</t>
  </si>
  <si>
    <t xml:space="preserve">Học phần</t>
  </si>
  <si>
    <t xml:space="preserve">Thực hành Vật lý Hiện đại (THVLHĐ)</t>
  </si>
  <si>
    <t xml:space="preserve">2</t>
  </si>
  <si>
    <t xml:space="preserve">Tên bài thực tập</t>
  </si>
  <si>
    <t xml:space="preserve">Phân bố thống kê trong phân rã phóng xạ</t>
  </si>
  <si>
    <t xml:space="preserve">3</t>
  </si>
  <si>
    <t xml:space="preserve">Nhóm thực hiện</t>
  </si>
  <si>
    <t xml:space="preserve">Nhóm 3</t>
  </si>
  <si>
    <t xml:space="preserve">4</t>
  </si>
  <si>
    <t xml:space="preserve">Phòng thí nghiệm</t>
  </si>
  <si>
    <t xml:space="preserve">5</t>
  </si>
  <si>
    <t xml:space="preserve">Ngày đo</t>
  </si>
  <si>
    <t xml:space="preserve">6</t>
  </si>
  <si>
    <t xml:space="preserve">Giảng viên hướng dẫn</t>
  </si>
  <si>
    <t xml:space="preserve">7</t>
  </si>
  <si>
    <t xml:space="preserve">Mã hồ sơ</t>
  </si>
  <si>
    <t xml:space="preserve">THVLHĐ-GM-N3-01</t>
  </si>
  <si>
    <t xml:space="preserve">II</t>
  </si>
  <si>
    <t xml:space="preserve">THIẾT BỊ ĐO</t>
  </si>
  <si>
    <t xml:space="preserve">Đầu dò</t>
  </si>
  <si>
    <t xml:space="preserve">Ống đếm Geiger–Müller (model/số hiệu: ……)</t>
  </si>
  <si>
    <t xml:space="preserve">Bộ đếm (Counter)</t>
  </si>
  <si>
    <t xml:space="preserve">Model/số hiệu: ……</t>
  </si>
  <si>
    <t xml:space="preserve">Nguồn cao thế (HV)</t>
  </si>
  <si>
    <t xml:space="preserve">Điện áp làm việc đặt cho GM (V)</t>
  </si>
  <si>
    <t xml:space="preserve">III</t>
  </si>
  <si>
    <t xml:space="preserve">NGUỒN PHÓNG XẠ</t>
  </si>
  <si>
    <t xml:space="preserve">Đồng vị</t>
  </si>
  <si>
    <t xml:space="preserve">Ra-226 (dùng cho Bộ 2 và Bộ 3)</t>
  </si>
  <si>
    <t xml:space="preserve">Hoạt độ / ngày chuẩn</t>
  </si>
  <si>
    <t xml:space="preserve">Bộ 1 (mức thấp)</t>
  </si>
  <si>
    <t xml:space="preserve">Phông (“Font” trong số liệu gốc), xác nhận có/không đặt nguồn</t>
  </si>
  <si>
    <t xml:space="preserve">IV</t>
  </si>
  <si>
    <t xml:space="preserve">ĐIỀU KIỆN ĐO</t>
  </si>
  <si>
    <t xml:space="preserve">Thời gian mỗi lần đo ngắn t (s)</t>
  </si>
  <si>
    <t xml:space="preserve">Số lần đo ngắn mỗi bộ n</t>
  </si>
  <si>
    <t xml:space="preserve">Thời gian phép đo dài T (s)</t>
  </si>
  <si>
    <t xml:space="preserve">Khoảng cách nguồn–đầu dò Bộ 1 (cm)</t>
  </si>
  <si>
    <t xml:space="preserve">Khoảng cách nguồn–đầu dò Bộ 2 (cm)</t>
  </si>
  <si>
    <t xml:space="preserve">Khoảng cách nguồn–đầu dò Bộ 3 (cm)</t>
  </si>
  <si>
    <t xml:space="preserve">Nhiệt độ / độ ẩm phòng</t>
  </si>
  <si>
    <t xml:space="preserve">V</t>
  </si>
  <si>
    <t xml:space="preserve">QUY ƯỚC BÁO CÁO</t>
  </si>
  <si>
    <t xml:space="preserve">Độ không đảm bảo đo</t>
  </si>
  <si>
    <t xml:space="preserve">Chuẩn (k = 1, ~68%), thống kê đếm Poisson u(N) = √N</t>
  </si>
  <si>
    <t xml:space="preserve">Số liệu gốc</t>
  </si>
  <si>
    <t xml:space="preserve">Tệp “nhóm 1.xlsx” (không chỉnh sửa)</t>
  </si>
  <si>
    <t xml:space="preserve">Phân tích bổ trợ</t>
  </si>
  <si>
    <t xml:space="preserve">analysis.py (Python) – Monte Carlo, χ² Pearson, đồ thị</t>
  </si>
  <si>
    <t xml:space="preserve">VI. DANH SÁCH THÀNH VIÊN NHÓM 3</t>
  </si>
  <si>
    <t xml:space="preserve">STT</t>
  </si>
  <si>
    <t xml:space="preserve">Họ và tên</t>
  </si>
  <si>
    <t xml:space="preserve">MSSV</t>
  </si>
  <si>
    <t xml:space="preserve">Vai trò</t>
  </si>
  <si>
    <t xml:space="preserve">Chữ ký</t>
  </si>
  <si>
    <t xml:space="preserve">Ghi chú</t>
  </si>
  <si>
    <t xml:space="preserve">Phạm Việt Linh</t>
  </si>
  <si>
    <t xml:space="preserve">24130044</t>
  </si>
  <si>
    <t xml:space="preserve">Thành viên</t>
  </si>
  <si>
    <t xml:space="preserve">Lê Quốc Long</t>
  </si>
  <si>
    <t xml:space="preserve">24130048</t>
  </si>
  <si>
    <t xml:space="preserve">Ngô Đặng Tuấn Long</t>
  </si>
  <si>
    <t xml:space="preserve">24130049</t>
  </si>
  <si>
    <t xml:space="preserve">Dương Quốc Huy</t>
  </si>
  <si>
    <t xml:space="preserve">24130103</t>
  </si>
  <si>
    <t xml:space="preserve">Trần Trí Dũng</t>
  </si>
  <si>
    <t xml:space="preserve">24130162</t>
  </si>
  <si>
    <t xml:space="preserve">Nguyễn Trần Nhiên Đăng</t>
  </si>
  <si>
    <t xml:space="preserve">24130147</t>
  </si>
  <si>
    <t xml:space="preserve">Lê Anh Đức</t>
  </si>
  <si>
    <t xml:space="preserve">24130157</t>
  </si>
  <si>
    <t xml:space="preserve">Trần Thanh Đức</t>
  </si>
  <si>
    <t xml:space="preserve">24130159</t>
  </si>
  <si>
    <t xml:space="preserve">Nguyễn Vũ Nhật Minh</t>
  </si>
  <si>
    <t xml:space="preserve">24130218</t>
  </si>
  <si>
    <t xml:space="preserve">NGƯỜI ĐO</t>
  </si>
  <si>
    <t xml:space="preserve">NGƯỜI KIỂM TRA</t>
  </si>
  <si>
    <t xml:space="preserve">GIẢNG VIÊN XÁC NHẬN</t>
  </si>
  <si>
    <t xml:space="preserve">(Ký, ghi rõ họ tên)</t>
  </si>
  <si>
    <t xml:space="preserve">BẢNG SỐ LIỆU ĐẾM THÔ – ỐNG ĐẾM GEIGER–MÜLLER</t>
  </si>
  <si>
    <t xml:space="preserve">N: số đếm ghi nhận trong thời gian t;  u(N) = √N (k = 1);  R = N/t (s⁻¹);  u(R) = √N/t</t>
  </si>
  <si>
    <t xml:space="preserve">Lần đo j</t>
  </si>
  <si>
    <t xml:space="preserve">t (s)</t>
  </si>
  <si>
    <t xml:space="preserve">Bộ 1 – Mức thấp (Phông)</t>
  </si>
  <si>
    <t xml:space="preserve">Bộ 2 – Mức trung bình (Ra-226)</t>
  </si>
  <si>
    <t xml:space="preserve">Bộ 3 – Mức cao (Ra-226)</t>
  </si>
  <si>
    <t xml:space="preserve">N</t>
  </si>
  <si>
    <t xml:space="preserve">u(N)</t>
  </si>
  <si>
    <t xml:space="preserve">R (s⁻¹)</t>
  </si>
  <si>
    <t xml:space="preserve">PHÉP ĐO DÀI (một lần đo trong thời gian T)</t>
  </si>
  <si>
    <t xml:space="preserve">T</t>
  </si>
  <si>
    <t xml:space="preserve">XỬ LÝ THỐNG KÊ SỐ LIỆU ĐẾM</t>
  </si>
  <si>
    <t xml:space="preserve">Đại lượng</t>
  </si>
  <si>
    <t xml:space="preserve">Công thức / ghi chú</t>
  </si>
  <si>
    <t xml:space="preserve">A. ĐẶC TRƯNG THỐNG KÊ CỦA 100 LẦN ĐO 10 s</t>
  </si>
  <si>
    <t xml:space="preserve">Số lần đo n</t>
  </si>
  <si>
    <t xml:space="preserve">COUNT</t>
  </si>
  <si>
    <t xml:space="preserve">Thời gian mỗi lần đo t (s)</t>
  </si>
  <si>
    <t xml:space="preserve">Từ trang ThongTin</t>
  </si>
  <si>
    <t xml:space="preserve">Tổng số đếm ΣN</t>
  </si>
  <si>
    <t xml:space="preserve">SUM</t>
  </si>
  <si>
    <t xml:space="preserve">Số đếm trung bình x̄</t>
  </si>
  <si>
    <t xml:space="preserve">x̄ = ΣN/n</t>
  </si>
  <si>
    <t xml:space="preserve">Độ lệch chuẩn thực nghiệm s</t>
  </si>
  <si>
    <t xml:space="preserve">STDEV (n − 1)</t>
  </si>
  <si>
    <t xml:space="preserve">Phương sai s²</t>
  </si>
  <si>
    <t xml:space="preserve">VAR (n − 1)</t>
  </si>
  <si>
    <t xml:space="preserve">Độ không đảm bảo của trung bình u(x̄)</t>
  </si>
  <si>
    <t xml:space="preserve">u(x̄) = s/√n</t>
  </si>
  <si>
    <t xml:space="preserve">Độ lệch chuẩn Poisson lý thuyết σ = √x̄</t>
  </si>
  <si>
    <t xml:space="preserve">σ_Poisson = √µ</t>
  </si>
  <si>
    <t xml:space="preserve">Tỉ số s/√x̄</t>
  </si>
  <si>
    <t xml:space="preserve">≈ 1 nếu tuân theo Poisson</t>
  </si>
  <si>
    <t xml:space="preserve">Chỉ số phân tán D = s²/x̄</t>
  </si>
  <si>
    <t xml:space="preserve">Poisson: D = 1</t>
  </si>
  <si>
    <t xml:space="preserve">Thống kê phân tán χ² = (n − 1)·D</t>
  </si>
  <si>
    <t xml:space="preserve">Tuân theo χ²(n − 1)</t>
  </si>
  <si>
    <t xml:space="preserve">p-value hai phía của kiểm định phân tán</t>
  </si>
  <si>
    <t xml:space="preserve">p &gt; 0,05: phương sai phù hợp Poisson</t>
  </si>
  <si>
    <t xml:space="preserve">Kết luận về phương sai</t>
  </si>
  <si>
    <t xml:space="preserve">Tốc độ đếm trung bình R = x̄/t (s⁻¹)</t>
  </si>
  <si>
    <t xml:space="preserve">u(R) (s⁻¹)</t>
  </si>
  <si>
    <t xml:space="preserve">u(R) = u(x̄)/t</t>
  </si>
  <si>
    <t xml:space="preserve">B. SO SÁNH VỚI PHÉP ĐO DÀI T = 100 s</t>
  </si>
  <si>
    <t xml:space="preserve">Số đếm phép đo dài N_T</t>
  </si>
  <si>
    <t xml:space="preserve">Từ trang SoLieuTho</t>
  </si>
  <si>
    <t xml:space="preserve">Quy về 10 s: N_T·t/T</t>
  </si>
  <si>
    <t xml:space="preserve">u(N_T·t/T) = √N_T·t/T</t>
  </si>
  <si>
    <t xml:space="preserve">Độ lệch chuẩn dự đoán cho 10 s từ phép đo dài √(N_T·t/T)</t>
  </si>
  <si>
    <t xml:space="preserve">So với s ở mục A</t>
  </si>
  <si>
    <t xml:space="preserve">Hiệu Δ = N_T·t/T − x̄</t>
  </si>
  <si>
    <t xml:space="preserve">u(Δ) = √(u(N_T·t/T)² + u(x̄)²)</t>
  </si>
  <si>
    <t xml:space="preserve">Chỉ số z = Δ/u(Δ) (số độ lệch chuẩn)</t>
  </si>
  <si>
    <t xml:space="preserve">|z| ≤ 2: phù hợp</t>
  </si>
  <si>
    <t xml:space="preserve">Kết luận</t>
  </si>
  <si>
    <t xml:space="preserve">C. ĐỘ LỆCH LỚN NHẤT SO VỚI TRUNG BÌNH</t>
  </si>
  <si>
    <t xml:space="preserve">Giá trị lớn nhất</t>
  </si>
  <si>
    <t xml:space="preserve">Giá trị nhỏ nhất</t>
  </si>
  <si>
    <t xml:space="preserve">Độ lệch lớn nhất x − x̄</t>
  </si>
  <si>
    <t xml:space="preserve">Tính theo σ = √x̄</t>
  </si>
  <si>
    <t xml:space="preserve">Xác suất Poisson một lần đo lệch ít nhất như vậy (một phía)</t>
  </si>
  <si>
    <t xml:space="preserve">P(X ≥ max) hoặc P(X ≤ min)</t>
  </si>
  <si>
    <t xml:space="preserve">Xác suất xuất hiện ít nhất 1 lần trong n lần đo</t>
  </si>
  <si>
    <t xml:space="preserve">1 − (1 − p)ⁿ (n = 100 cơ hội)</t>
  </si>
  <si>
    <t xml:space="preserve">Số lần kỳ vọng trong n lần đo</t>
  </si>
  <si>
    <t xml:space="preserve">Kết luận về hệ đếm</t>
  </si>
  <si>
    <t xml:space="preserve">Ngưỡng 5%</t>
  </si>
  <si>
    <t xml:space="preserve">D. KIỂM ĐỊNH χ² (CÔNG THỨC 5): POISSON VÀ GAUSS</t>
  </si>
  <si>
    <t xml:space="preserve">χ² Poisson</t>
  </si>
  <si>
    <t xml:space="preserve">Σ(O − E)²/O, O &gt; 0</t>
  </si>
  <si>
    <t xml:space="preserve">χ² Gauss</t>
  </si>
  <si>
    <t xml:space="preserve">Gauss: µ = σ² = x̄</t>
  </si>
  <si>
    <t xml:space="preserve">Số bin sử dụng (O &gt; 0)</t>
  </si>
  <si>
    <t xml:space="preserve">Bậc tự do ν = số bin − 1</t>
  </si>
  <si>
    <t xml:space="preserve">1 tham số (µ) ước lượng từ dữ liệu</t>
  </si>
  <si>
    <t xml:space="preserve">χ²/ν Poisson</t>
  </si>
  <si>
    <t xml:space="preserve">χ²/ν Gauss</t>
  </si>
  <si>
    <t xml:space="preserve">p-value Poisson</t>
  </si>
  <si>
    <t xml:space="preserve">CHIDIST(χ², ν)</t>
  </si>
  <si>
    <t xml:space="preserve">p-value Gauss</t>
  </si>
  <si>
    <t xml:space="preserve">Phân bố phù hợp hơn (χ² nhỏ hơn)</t>
  </si>
  <si>
    <t xml:space="preserve">BẢNG TẦN SUẤT SỐ ĐẾM VÀ PHÂN BỐ LÝ THUYẾT</t>
  </si>
  <si>
    <t xml:space="preserve">O: số lần xuất hiện; u(O) = √O; E: tần suất lý thuyết = n·P(k); χ² theo công thức (5): (O − E)²/O, chỉ tính các bin O &gt; 0</t>
  </si>
  <si>
    <t xml:space="preserve">x̄ =</t>
  </si>
  <si>
    <t xml:space="preserve">n =</t>
  </si>
  <si>
    <t xml:space="preserve">k</t>
  </si>
  <si>
    <t xml:space="preserve">O</t>
  </si>
  <si>
    <t xml:space="preserve">u(O)</t>
  </si>
  <si>
    <t xml:space="preserve">E Poisson</t>
  </si>
  <si>
    <t xml:space="preserve">E Gauss</t>
  </si>
  <si>
    <t xml:space="preserve">Σ</t>
  </si>
  <si>
    <t xml:space="preserve">bin</t>
  </si>
  <si>
    <t xml:space="preserve">TỐC ĐỘ ĐẾM TRUNG BÌNH TÍCH LŨY r_c(j)</t>
  </si>
  <si>
    <t xml:space="preserve">r_c(j) = Σᵢ₌₁ʲ Nᵢ / Σᵢ₌₁ʲ tᵢ  (s⁻¹) – công thức (3)</t>
  </si>
  <si>
    <t xml:space="preserve">j</t>
  </si>
  <si>
    <t xml:space="preserve">ĐỒ THỊ PHÂN BỐ TẦN SUẤT: THỰC NGHIỆM – POISSON – GAUSS</t>
  </si>
  <si>
    <t xml:space="preserve">Điểm đen: thực nghiệm (thanh sai số ±√O); đường liền: Poisson; đường đứt: Gauss.</t>
  </si>
  <si>
    <t xml:space="preserve">MÔ PHỎNG MONTE CARLO PHÂN BỐ POISSON (1000 LẦN THỬ)</t>
  </si>
  <si>
    <t xml:space="preserve">Sinh số ngẫu nhiên Poisson bằng numpy (seed = 2026) với µ = x̄ thực nghiệm; số liệu xuất từ analysis.py → montecarlo/mc_S*.csv (nhập tay, chữ xanh dương).</t>
  </si>
  <si>
    <t xml:space="preserve">µ (thực nghiệm)</t>
  </si>
  <si>
    <t xml:space="preserve">Tần suất MC</t>
  </si>
  <si>
    <t xml:space="preserve">(O−E)²/O</t>
  </si>
  <si>
    <t xml:space="preserve">SO SÁNH THỰC NGHIỆM – MÔ PHỎNG</t>
  </si>
  <si>
    <t xml:space="preserve">Số lần thử MC</t>
  </si>
  <si>
    <t xml:space="preserve">Trung bình MC x̄_MC</t>
  </si>
  <si>
    <t xml:space="preserve">Độ lệch chuẩn MC s_MC</t>
  </si>
  <si>
    <t xml:space="preserve">u(x̄_MC) = s_MC/√N</t>
  </si>
  <si>
    <t xml:space="preserve">Trung bình thực nghiệm x̄</t>
  </si>
  <si>
    <t xml:space="preserve">√µ (lý thuyết)</t>
  </si>
  <si>
    <t xml:space="preserve">s thực nghiệm / s_MC</t>
  </si>
  <si>
    <t xml:space="preserve">χ² (công thức 5) của mẫu MC so với Poisson</t>
  </si>
  <si>
    <t xml:space="preserve">Lặp 2000 thí nghiệm ảo × 100 lần đo: trung bình của s</t>
  </si>
  <si>
    <t xml:space="preserve">… độ lệch chuẩn của s (phân tán thống kê của s)</t>
  </si>
  <si>
    <t xml:space="preserve">… tỉ lệ thí nghiệm ảo có s nhỏ hơn s thực nghiệm (%)</t>
  </si>
  <si>
    <t xml:space="preserve">TỔNG HỢP KẾT QUẢ ĐO</t>
  </si>
  <si>
    <t xml:space="preserve">Đại lượng (k = 1)</t>
  </si>
  <si>
    <t xml:space="preserve">Giá trị</t>
  </si>
  <si>
    <t xml:space="preserve">u</t>
  </si>
  <si>
    <t xml:space="preserve">Số đếm trung bình trong 10 s, x̄</t>
  </si>
  <si>
    <t xml:space="preserve">Tốc độ đếm R (s⁻¹)</t>
  </si>
  <si>
    <t xml:space="preserve">Phép đo dài quy về 10 s</t>
  </si>
  <si>
    <t xml:space="preserve">Độ lệch chuẩn Poisson √x̄</t>
  </si>
  <si>
    <t xml:space="preserve">p-value kiểm định phân tán</t>
  </si>
  <si>
    <t xml:space="preserve">Chỉ số z (10 s so với 100 s)</t>
  </si>
  <si>
    <t xml:space="preserve">χ² Poisson (công thức 5) / ν</t>
  </si>
  <si>
    <t xml:space="preserve">χ² Gauss (công thức 5) / ν</t>
  </si>
  <si>
    <t xml:space="preserve">Phân bố phù hợp hơn</t>
  </si>
  <si>
    <t xml:space="preserve">Xác suất ≥ 1 lần lệch cực đại trong 100 lần</t>
  </si>
  <si>
    <t xml:space="preserve">χ² PEARSON (GỘP BIN SAO CHO E ≥ 5) – tính bằng analysis.py, dùng để đối chiếu</t>
  </si>
  <si>
    <t xml:space="preserve">Phân bố</t>
  </si>
  <si>
    <t xml:space="preserve">χ²</t>
  </si>
  <si>
    <t xml:space="preserve">ν</t>
  </si>
  <si>
    <t xml:space="preserve">p</t>
  </si>
  <si>
    <t xml:space="preserve">Bộ 1 – Mức thấp (Phông) – Poisson</t>
  </si>
  <si>
    <t xml:space="preserve">Bộ 1 – Mức thấp (Phông) – Gauss</t>
  </si>
  <si>
    <t xml:space="preserve">Bộ 2 – Mức trung bình (Ra-226) – Poisson</t>
  </si>
  <si>
    <t xml:space="preserve">Bộ 2 – Mức trung bình (Ra-226) – Gauss</t>
  </si>
  <si>
    <t xml:space="preserve">Bộ 3 – Mức cao (Ra-226) – Poisson</t>
  </si>
  <si>
    <t xml:space="preserve">Bộ 3 – Mức cao (Ra-226) – Gauss</t>
  </si>
  <si>
    <t xml:space="preserve">NHẬN XÉT</t>
  </si>
  <si>
    <t xml:space="preserve">1. r_c(j) của cả ba bộ hội tụ về giá trị trung bình và nằm trong dải ±1σ Poisson sau ~20–30 lần đo: quá trình đếm dừng trong suốt thời gian đo.</t>
  </si>
  <si>
    <t xml:space="preserve">2. s ≈ √x̄ (D = 1,10; 1,20; 1,15; p-value &gt; 0,05): phương sai phù hợp phân bố Poisson.</t>
  </si>
  <si>
    <t xml:space="preserve">3. Kết quả phép đo 100 s phù hợp với trung bình 100 lần đo 10 s trong khoảng 1,5σ (|z| ≤ 1,43).</t>
  </si>
  <si>
    <t xml:space="preserve">4. Bộ mức thấp: độ lệch lớn nhất (x = 12, ≈ 2,8σ) có xác suất xuất hiện ≈ 68% trong 100 lần đo: hệ đếm hoạt động bình thường.</t>
  </si>
  <si>
    <t xml:space="preserve">5. Ở µ ≈ 41 Poisson cho χ² nhỏ hơn Gauss một chút; ở µ ≈ 112 hai phân bố gần như trùng nhau: xấp xỉ Gauss chỉ tốt khi µ lớn.</t>
  </si>
  <si>
    <t xml:space="preserve">6. χ² theo công thức (5) bị phóng đại khi O nhỏ (σ = √O); χ² Pearson gộp bin cho p &gt; 0,1 ở cả ba bộ.</t>
  </si>
  <si>
    <t xml:space="preserve">BẢNG PHÂN CÔNG CÔNG VIỆC – NHÓM 3</t>
  </si>
  <si>
    <t xml:space="preserve">Nội dung phân công là đề xuất (nền vàng), nhóm cần điều chỉnh theo thực tế.</t>
  </si>
  <si>
    <t xml:space="preserve">Nhiệm vụ</t>
  </si>
  <si>
    <t xml:space="preserve">Mức độ hoàn thành</t>
  </si>
  <si>
    <t xml:space="preserve">Lắp đặt hệ đo, đo Bộ 1 (mức thấp)</t>
  </si>
  <si>
    <t xml:space="preserve">100%</t>
  </si>
  <si>
    <t xml:space="preserve">Tổng hợp số liệu, xử lý thống kê, soạn báo cáo</t>
  </si>
  <si>
    <t xml:space="preserve">Đo Bộ 2, ghi điều kiện đo</t>
  </si>
  <si>
    <t xml:space="preserve">Đo Bộ 3, phép đo dài 100 s</t>
  </si>
  <si>
    <t xml:space="preserve">Vẽ đồ thị phân bố tần suất, thanh sai số</t>
  </si>
  <si>
    <t xml:space="preserve">Tính χ², so sánh Poisson – Gauss</t>
  </si>
  <si>
    <t xml:space="preserve">Mô phỏng Monte Carlo</t>
  </si>
  <si>
    <t xml:space="preserve">Cơ sở lý thuyết, câu hỏi tìm hiểu thêm</t>
  </si>
  <si>
    <t xml:space="preserve">Kiểm tra, biên tập báo cáo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</si>
</sst>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0"/>
    <numFmt numFmtId="167" formatCode="0"/>
    <numFmt numFmtId="168" formatCode="@"/>
    <numFmt numFmtId="169" formatCode="0.0000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2"/>
      <color rgb="FF0000FF"/>
      <name val="Times New Roman"/>
      <family val="0"/>
      <charset val="1"/>
    </font>
    <font>
      <sz val="12"/>
      <color rgb="FF008000"/>
      <name val="Times New Roman"/>
      <family val="0"/>
      <charset val="1"/>
    </font>
    <font>
      <sz val="10"/>
      <name val="Arial"/>
      <family val="2"/>
    </font>
    <font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E2EFDA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7A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1 – Mức thấp (Phông)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TocDoTichLuy!B6</c:f>
              <c:strCache>
                <c:ptCount val="1"/>
                <c:pt idx="0">
                  <c:v>Bộ 1 – Mức thấp (Phông)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TocDoTichLuy!$A$7:$A$106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TocDoTichLuy!$B$7:$B$106</c:f>
              <c:numCache>
                <c:formatCode>0.000</c:formatCode>
                <c:ptCount val="100"/>
                <c:pt idx="0">
                  <c:v>1</c:v>
                </c:pt>
                <c:pt idx="1">
                  <c:v>0.95</c:v>
                </c:pt>
                <c:pt idx="2">
                  <c:v>0.866666666666667</c:v>
                </c:pt>
                <c:pt idx="3">
                  <c:v>0.875</c:v>
                </c:pt>
                <c:pt idx="4">
                  <c:v>0.8</c:v>
                </c:pt>
                <c:pt idx="5">
                  <c:v>0.783333333333333</c:v>
                </c:pt>
                <c:pt idx="6">
                  <c:v>0.757142857142857</c:v>
                </c:pt>
                <c:pt idx="7">
                  <c:v>0.7625</c:v>
                </c:pt>
                <c:pt idx="8">
                  <c:v>0.733333333333333</c:v>
                </c:pt>
                <c:pt idx="9">
                  <c:v>0.7</c:v>
                </c:pt>
                <c:pt idx="10">
                  <c:v>0.690909090909091</c:v>
                </c:pt>
                <c:pt idx="11">
                  <c:v>0.666666666666667</c:v>
                </c:pt>
                <c:pt idx="12">
                  <c:v>0.669230769230769</c:v>
                </c:pt>
                <c:pt idx="13">
                  <c:v>0.692857142857143</c:v>
                </c:pt>
                <c:pt idx="14">
                  <c:v>0.686666666666667</c:v>
                </c:pt>
                <c:pt idx="15">
                  <c:v>0.65625</c:v>
                </c:pt>
                <c:pt idx="16">
                  <c:v>0.647058823529412</c:v>
                </c:pt>
                <c:pt idx="17">
                  <c:v>0.655555555555556</c:v>
                </c:pt>
                <c:pt idx="18">
                  <c:v>0.652631578947369</c:v>
                </c:pt>
                <c:pt idx="19">
                  <c:v>0.635</c:v>
                </c:pt>
                <c:pt idx="20">
                  <c:v>0.652380952380952</c:v>
                </c:pt>
                <c:pt idx="21">
                  <c:v>0.65</c:v>
                </c:pt>
                <c:pt idx="22">
                  <c:v>0.647826086956522</c:v>
                </c:pt>
                <c:pt idx="23">
                  <c:v>0.633333333333333</c:v>
                </c:pt>
                <c:pt idx="24">
                  <c:v>0.644</c:v>
                </c:pt>
                <c:pt idx="25">
                  <c:v>0.626923076923077</c:v>
                </c:pt>
                <c:pt idx="26">
                  <c:v>0.625925925925926</c:v>
                </c:pt>
                <c:pt idx="27">
                  <c:v>0.610714285714286</c:v>
                </c:pt>
                <c:pt idx="28">
                  <c:v>0.610344827586207</c:v>
                </c:pt>
                <c:pt idx="29">
                  <c:v>0.623333333333333</c:v>
                </c:pt>
                <c:pt idx="30">
                  <c:v>0.606451612903226</c:v>
                </c:pt>
                <c:pt idx="31">
                  <c:v>0.603125</c:v>
                </c:pt>
                <c:pt idx="32">
                  <c:v>0.606060606060606</c:v>
                </c:pt>
                <c:pt idx="33">
                  <c:v>0.608823529411765</c:v>
                </c:pt>
                <c:pt idx="34">
                  <c:v>0.602857142857143</c:v>
                </c:pt>
                <c:pt idx="35">
                  <c:v>0.597222222222222</c:v>
                </c:pt>
                <c:pt idx="36">
                  <c:v>0.597297297297297</c:v>
                </c:pt>
                <c:pt idx="37">
                  <c:v>0.594736842105263</c:v>
                </c:pt>
                <c:pt idx="38">
                  <c:v>0.597435897435897</c:v>
                </c:pt>
                <c:pt idx="39">
                  <c:v>0.5925</c:v>
                </c:pt>
                <c:pt idx="40">
                  <c:v>0.580487804878049</c:v>
                </c:pt>
                <c:pt idx="41">
                  <c:v>0.588095238095238</c:v>
                </c:pt>
                <c:pt idx="42">
                  <c:v>0.588372093023256</c:v>
                </c:pt>
                <c:pt idx="43">
                  <c:v>0.588636363636364</c:v>
                </c:pt>
                <c:pt idx="44">
                  <c:v>0.584444444444444</c:v>
                </c:pt>
                <c:pt idx="45">
                  <c:v>0.573913043478261</c:v>
                </c:pt>
                <c:pt idx="46">
                  <c:v>0.572340425531915</c:v>
                </c:pt>
                <c:pt idx="47">
                  <c:v>0.572916666666667</c:v>
                </c:pt>
                <c:pt idx="48">
                  <c:v>0.571428571428571</c:v>
                </c:pt>
                <c:pt idx="49">
                  <c:v>0.566</c:v>
                </c:pt>
                <c:pt idx="50">
                  <c:v>0.568627450980392</c:v>
                </c:pt>
                <c:pt idx="51">
                  <c:v>0.565384615384615</c:v>
                </c:pt>
                <c:pt idx="52">
                  <c:v>0.560377358490566</c:v>
                </c:pt>
                <c:pt idx="53">
                  <c:v>0.553703703703704</c:v>
                </c:pt>
                <c:pt idx="54">
                  <c:v>0.549090909090909</c:v>
                </c:pt>
                <c:pt idx="55">
                  <c:v>0.544642857142857</c:v>
                </c:pt>
                <c:pt idx="56">
                  <c:v>0.545614035087719</c:v>
                </c:pt>
                <c:pt idx="57">
                  <c:v>0.546551724137931</c:v>
                </c:pt>
                <c:pt idx="58">
                  <c:v>0.540677966101695</c:v>
                </c:pt>
                <c:pt idx="59">
                  <c:v>0.541666666666667</c:v>
                </c:pt>
                <c:pt idx="60">
                  <c:v>0.539344262295082</c:v>
                </c:pt>
                <c:pt idx="61">
                  <c:v>0.538709677419355</c:v>
                </c:pt>
                <c:pt idx="62">
                  <c:v>0.53968253968254</c:v>
                </c:pt>
                <c:pt idx="63">
                  <c:v>0.5375</c:v>
                </c:pt>
                <c:pt idx="64">
                  <c:v>0.543076923076923</c:v>
                </c:pt>
                <c:pt idx="65">
                  <c:v>0.542424242424243</c:v>
                </c:pt>
                <c:pt idx="66">
                  <c:v>0.552238805970149</c:v>
                </c:pt>
                <c:pt idx="67">
                  <c:v>0.547058823529412</c:v>
                </c:pt>
                <c:pt idx="68">
                  <c:v>0.544927536231884</c:v>
                </c:pt>
                <c:pt idx="69">
                  <c:v>0.545714285714286</c:v>
                </c:pt>
                <c:pt idx="70">
                  <c:v>0.543661971830986</c:v>
                </c:pt>
                <c:pt idx="71">
                  <c:v>0.538888888888889</c:v>
                </c:pt>
                <c:pt idx="72">
                  <c:v>0.541095890410959</c:v>
                </c:pt>
                <c:pt idx="73">
                  <c:v>0.537837837837838</c:v>
                </c:pt>
                <c:pt idx="74">
                  <c:v>0.538666666666667</c:v>
                </c:pt>
                <c:pt idx="75">
                  <c:v>0.536842105263158</c:v>
                </c:pt>
                <c:pt idx="76">
                  <c:v>0.545454545454545</c:v>
                </c:pt>
                <c:pt idx="77">
                  <c:v>0.55</c:v>
                </c:pt>
                <c:pt idx="78">
                  <c:v>0.551898734177215</c:v>
                </c:pt>
                <c:pt idx="79">
                  <c:v>0.5575</c:v>
                </c:pt>
                <c:pt idx="80">
                  <c:v>0.55679012345679</c:v>
                </c:pt>
                <c:pt idx="81">
                  <c:v>0.558536585365854</c:v>
                </c:pt>
                <c:pt idx="82">
                  <c:v>0.557831325301205</c:v>
                </c:pt>
                <c:pt idx="83">
                  <c:v>0.55952380952381</c:v>
                </c:pt>
                <c:pt idx="84">
                  <c:v>0.558823529411765</c:v>
                </c:pt>
                <c:pt idx="85">
                  <c:v>0.56046511627907</c:v>
                </c:pt>
                <c:pt idx="86">
                  <c:v>0.558620689655172</c:v>
                </c:pt>
                <c:pt idx="87">
                  <c:v>0.555681818181818</c:v>
                </c:pt>
                <c:pt idx="88">
                  <c:v>0.553932584269663</c:v>
                </c:pt>
                <c:pt idx="89">
                  <c:v>0.555555555555556</c:v>
                </c:pt>
                <c:pt idx="90">
                  <c:v>0.554945054945055</c:v>
                </c:pt>
                <c:pt idx="91">
                  <c:v>0.558695652173913</c:v>
                </c:pt>
                <c:pt idx="92">
                  <c:v>0.56236559139785</c:v>
                </c:pt>
                <c:pt idx="93">
                  <c:v>0.562765957446809</c:v>
                </c:pt>
                <c:pt idx="94">
                  <c:v>0.562105263157895</c:v>
                </c:pt>
                <c:pt idx="95">
                  <c:v>0.5625</c:v>
                </c:pt>
                <c:pt idx="96">
                  <c:v>0.558762886597938</c:v>
                </c:pt>
                <c:pt idx="97">
                  <c:v>0.554081632653061</c:v>
                </c:pt>
                <c:pt idx="98">
                  <c:v>0.554545454545455</c:v>
                </c:pt>
                <c:pt idx="99">
                  <c:v>0.552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30671"/>
        <c:axId val="58127523"/>
      </c:lineChart>
      <c:catAx>
        <c:axId val="6730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Lần đo 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127523"/>
        <c:crosses val="autoZero"/>
        <c:auto val="1"/>
        <c:lblAlgn val="ctr"/>
        <c:lblOffset val="100"/>
        <c:noMultiLvlLbl val="0"/>
      </c:catAx>
      <c:valAx>
        <c:axId val="58127523"/>
        <c:scaling>
          <c:orientation val="minMax"/>
          <c:max val="1.1"/>
          <c:min val="0.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r_c (s⁻¹)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3067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2 – Mức trung bình (Ra-226)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TocDoTichLuy!C6</c:f>
              <c:strCache>
                <c:ptCount val="1"/>
                <c:pt idx="0">
                  <c:v>Bộ 2 – Mức trung bình (Ra-226)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TocDoTichLuy!$A$7:$A$106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TocDoTichLuy!$C$7:$C$106</c:f>
              <c:numCache>
                <c:formatCode>0.000</c:formatCode>
                <c:ptCount val="100"/>
                <c:pt idx="0">
                  <c:v>4</c:v>
                </c:pt>
                <c:pt idx="1">
                  <c:v>3.3</c:v>
                </c:pt>
                <c:pt idx="2">
                  <c:v>3.3</c:v>
                </c:pt>
                <c:pt idx="3">
                  <c:v>3.325</c:v>
                </c:pt>
                <c:pt idx="4">
                  <c:v>3.4</c:v>
                </c:pt>
                <c:pt idx="5">
                  <c:v>3.6</c:v>
                </c:pt>
                <c:pt idx="6">
                  <c:v>3.5</c:v>
                </c:pt>
                <c:pt idx="7">
                  <c:v>3.525</c:v>
                </c:pt>
                <c:pt idx="8">
                  <c:v>3.5</c:v>
                </c:pt>
                <c:pt idx="9">
                  <c:v>3.48</c:v>
                </c:pt>
                <c:pt idx="10">
                  <c:v>3.55454545454545</c:v>
                </c:pt>
                <c:pt idx="11">
                  <c:v>3.60833333333333</c:v>
                </c:pt>
                <c:pt idx="12">
                  <c:v>3.64615384615385</c:v>
                </c:pt>
                <c:pt idx="13">
                  <c:v>3.64285714285714</c:v>
                </c:pt>
                <c:pt idx="14">
                  <c:v>3.7</c:v>
                </c:pt>
                <c:pt idx="15">
                  <c:v>3.75</c:v>
                </c:pt>
                <c:pt idx="16">
                  <c:v>3.74705882352941</c:v>
                </c:pt>
                <c:pt idx="17">
                  <c:v>3.82222222222222</c:v>
                </c:pt>
                <c:pt idx="18">
                  <c:v>3.86315789473684</c:v>
                </c:pt>
                <c:pt idx="19">
                  <c:v>3.905</c:v>
                </c:pt>
                <c:pt idx="20">
                  <c:v>3.97619047619048</c:v>
                </c:pt>
                <c:pt idx="21">
                  <c:v>3.93181818181818</c:v>
                </c:pt>
                <c:pt idx="22">
                  <c:v>3.93478260869565</c:v>
                </c:pt>
                <c:pt idx="23">
                  <c:v>3.95</c:v>
                </c:pt>
                <c:pt idx="24">
                  <c:v>3.98</c:v>
                </c:pt>
                <c:pt idx="25">
                  <c:v>4</c:v>
                </c:pt>
                <c:pt idx="26">
                  <c:v>4.01481481481482</c:v>
                </c:pt>
                <c:pt idx="27">
                  <c:v>4.01071428571429</c:v>
                </c:pt>
                <c:pt idx="28">
                  <c:v>3.99310344827586</c:v>
                </c:pt>
                <c:pt idx="29">
                  <c:v>4.01</c:v>
                </c:pt>
                <c:pt idx="30">
                  <c:v>3.99354838709677</c:v>
                </c:pt>
                <c:pt idx="31">
                  <c:v>4</c:v>
                </c:pt>
                <c:pt idx="32">
                  <c:v>4.01818181818182</c:v>
                </c:pt>
                <c:pt idx="33">
                  <c:v>4.05</c:v>
                </c:pt>
                <c:pt idx="34">
                  <c:v>4.07428571428571</c:v>
                </c:pt>
                <c:pt idx="35">
                  <c:v>4.06666666666667</c:v>
                </c:pt>
                <c:pt idx="36">
                  <c:v>4.07027027027027</c:v>
                </c:pt>
                <c:pt idx="37">
                  <c:v>4.05789473684211</c:v>
                </c:pt>
                <c:pt idx="38">
                  <c:v>4.08717948717949</c:v>
                </c:pt>
                <c:pt idx="39">
                  <c:v>4.0825</c:v>
                </c:pt>
                <c:pt idx="40">
                  <c:v>4.10243902439024</c:v>
                </c:pt>
                <c:pt idx="41">
                  <c:v>4.07380952380952</c:v>
                </c:pt>
                <c:pt idx="42">
                  <c:v>4.05813953488372</c:v>
                </c:pt>
                <c:pt idx="43">
                  <c:v>4.07272727272727</c:v>
                </c:pt>
                <c:pt idx="44">
                  <c:v>4.07111111111111</c:v>
                </c:pt>
                <c:pt idx="45">
                  <c:v>4.08478260869565</c:v>
                </c:pt>
                <c:pt idx="46">
                  <c:v>4.07659574468085</c:v>
                </c:pt>
                <c:pt idx="47">
                  <c:v>4.0875</c:v>
                </c:pt>
                <c:pt idx="48">
                  <c:v>4.08979591836735</c:v>
                </c:pt>
                <c:pt idx="49">
                  <c:v>4.092</c:v>
                </c:pt>
                <c:pt idx="50">
                  <c:v>4.07647058823529</c:v>
                </c:pt>
                <c:pt idx="51">
                  <c:v>4.08846153846154</c:v>
                </c:pt>
                <c:pt idx="52">
                  <c:v>4.08490566037736</c:v>
                </c:pt>
                <c:pt idx="53">
                  <c:v>4.07962962962963</c:v>
                </c:pt>
                <c:pt idx="54">
                  <c:v>4.09818181818182</c:v>
                </c:pt>
                <c:pt idx="55">
                  <c:v>4.09464285714286</c:v>
                </c:pt>
                <c:pt idx="56">
                  <c:v>4.07894736842105</c:v>
                </c:pt>
                <c:pt idx="57">
                  <c:v>4.06379310344828</c:v>
                </c:pt>
                <c:pt idx="58">
                  <c:v>4.0728813559322</c:v>
                </c:pt>
                <c:pt idx="59">
                  <c:v>4.09166666666667</c:v>
                </c:pt>
                <c:pt idx="60">
                  <c:v>4.08360655737705</c:v>
                </c:pt>
                <c:pt idx="61">
                  <c:v>4.08064516129032</c:v>
                </c:pt>
                <c:pt idx="62">
                  <c:v>4.07936507936508</c:v>
                </c:pt>
                <c:pt idx="63">
                  <c:v>4.10625</c:v>
                </c:pt>
                <c:pt idx="64">
                  <c:v>4.10615384615385</c:v>
                </c:pt>
                <c:pt idx="65">
                  <c:v>4.11515151515152</c:v>
                </c:pt>
                <c:pt idx="66">
                  <c:v>4.12388059701493</c:v>
                </c:pt>
                <c:pt idx="67">
                  <c:v>4.10882352941176</c:v>
                </c:pt>
                <c:pt idx="68">
                  <c:v>4.09710144927536</c:v>
                </c:pt>
                <c:pt idx="69">
                  <c:v>4.1</c:v>
                </c:pt>
                <c:pt idx="70">
                  <c:v>4.08169014084507</c:v>
                </c:pt>
                <c:pt idx="71">
                  <c:v>4.06527777777778</c:v>
                </c:pt>
                <c:pt idx="72">
                  <c:v>4.06164383561644</c:v>
                </c:pt>
                <c:pt idx="73">
                  <c:v>4.06081081081081</c:v>
                </c:pt>
                <c:pt idx="74">
                  <c:v>4.06266666666667</c:v>
                </c:pt>
                <c:pt idx="75">
                  <c:v>4.05789473684211</c:v>
                </c:pt>
                <c:pt idx="76">
                  <c:v>4.06883116883117</c:v>
                </c:pt>
                <c:pt idx="77">
                  <c:v>4.05897435897436</c:v>
                </c:pt>
                <c:pt idx="78">
                  <c:v>4.05063291139241</c:v>
                </c:pt>
                <c:pt idx="79">
                  <c:v>4.0625</c:v>
                </c:pt>
                <c:pt idx="80">
                  <c:v>4.05679012345679</c:v>
                </c:pt>
                <c:pt idx="81">
                  <c:v>4.06341463414634</c:v>
                </c:pt>
                <c:pt idx="82">
                  <c:v>4.05421686746988</c:v>
                </c:pt>
                <c:pt idx="83">
                  <c:v>4.04642857142857</c:v>
                </c:pt>
                <c:pt idx="84">
                  <c:v>4.05176470588235</c:v>
                </c:pt>
                <c:pt idx="85">
                  <c:v>4.06395348837209</c:v>
                </c:pt>
                <c:pt idx="86">
                  <c:v>4.06091954022989</c:v>
                </c:pt>
                <c:pt idx="87">
                  <c:v>4.07840909090909</c:v>
                </c:pt>
                <c:pt idx="88">
                  <c:v>4.07865168539326</c:v>
                </c:pt>
                <c:pt idx="89">
                  <c:v>4.08555555555556</c:v>
                </c:pt>
                <c:pt idx="90">
                  <c:v>4.08351648351648</c:v>
                </c:pt>
                <c:pt idx="91">
                  <c:v>4.09021739130435</c:v>
                </c:pt>
                <c:pt idx="92">
                  <c:v>4.10215053763441</c:v>
                </c:pt>
                <c:pt idx="93">
                  <c:v>4.1063829787234</c:v>
                </c:pt>
                <c:pt idx="94">
                  <c:v>4.11684210526316</c:v>
                </c:pt>
                <c:pt idx="95">
                  <c:v>4.13020833333333</c:v>
                </c:pt>
                <c:pt idx="96">
                  <c:v>4.13814432989691</c:v>
                </c:pt>
                <c:pt idx="97">
                  <c:v>4.13571428571429</c:v>
                </c:pt>
                <c:pt idx="98">
                  <c:v>4.12828282828283</c:v>
                </c:pt>
                <c:pt idx="99">
                  <c:v>4.122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034562"/>
        <c:axId val="40616893"/>
      </c:lineChart>
      <c:catAx>
        <c:axId val="11034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Lần đo 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616893"/>
        <c:crosses val="autoZero"/>
        <c:auto val="1"/>
        <c:lblAlgn val="ctr"/>
        <c:lblOffset val="100"/>
        <c:noMultiLvlLbl val="0"/>
      </c:catAx>
      <c:valAx>
        <c:axId val="40616893"/>
        <c:scaling>
          <c:orientation val="minMax"/>
          <c:max val="4.6"/>
          <c:min val="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r_c (s⁻¹)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34562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3 – Mức cao (Ra-226)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TocDoTichLuy!D6</c:f>
              <c:strCache>
                <c:ptCount val="1"/>
                <c:pt idx="0">
                  <c:v>Bộ 3 – Mức cao (Ra-226)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TocDoTichLuy!$A$7:$A$106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TocDoTichLuy!$D$7:$D$106</c:f>
              <c:numCache>
                <c:formatCode>0.000</c:formatCode>
                <c:ptCount val="100"/>
                <c:pt idx="0">
                  <c:v>12.6</c:v>
                </c:pt>
                <c:pt idx="1">
                  <c:v>12.05</c:v>
                </c:pt>
                <c:pt idx="2">
                  <c:v>11.6666666666667</c:v>
                </c:pt>
                <c:pt idx="3">
                  <c:v>11.95</c:v>
                </c:pt>
                <c:pt idx="4">
                  <c:v>12.24</c:v>
                </c:pt>
                <c:pt idx="5">
                  <c:v>12.0666666666667</c:v>
                </c:pt>
                <c:pt idx="6">
                  <c:v>11.8142857142857</c:v>
                </c:pt>
                <c:pt idx="7">
                  <c:v>11.65</c:v>
                </c:pt>
                <c:pt idx="8">
                  <c:v>11.5111111111111</c:v>
                </c:pt>
                <c:pt idx="9">
                  <c:v>11.51</c:v>
                </c:pt>
                <c:pt idx="10">
                  <c:v>11.3727272727273</c:v>
                </c:pt>
                <c:pt idx="11">
                  <c:v>11.2166666666667</c:v>
                </c:pt>
                <c:pt idx="12">
                  <c:v>11.2230769230769</c:v>
                </c:pt>
                <c:pt idx="13">
                  <c:v>11.2714285714286</c:v>
                </c:pt>
                <c:pt idx="14">
                  <c:v>11.2666666666667</c:v>
                </c:pt>
                <c:pt idx="15">
                  <c:v>11.3</c:v>
                </c:pt>
                <c:pt idx="16">
                  <c:v>11.2352941176471</c:v>
                </c:pt>
                <c:pt idx="17">
                  <c:v>11.2166666666667</c:v>
                </c:pt>
                <c:pt idx="18">
                  <c:v>11.1894736842105</c:v>
                </c:pt>
                <c:pt idx="19">
                  <c:v>11.175</c:v>
                </c:pt>
                <c:pt idx="20">
                  <c:v>11.0904761904762</c:v>
                </c:pt>
                <c:pt idx="21">
                  <c:v>11.0181818181818</c:v>
                </c:pt>
                <c:pt idx="22">
                  <c:v>11.0173913043478</c:v>
                </c:pt>
                <c:pt idx="23">
                  <c:v>11.0583333333333</c:v>
                </c:pt>
                <c:pt idx="24">
                  <c:v>11.072</c:v>
                </c:pt>
                <c:pt idx="25">
                  <c:v>11.0538461538462</c:v>
                </c:pt>
                <c:pt idx="26">
                  <c:v>11.062962962963</c:v>
                </c:pt>
                <c:pt idx="27">
                  <c:v>11.1</c:v>
                </c:pt>
                <c:pt idx="28">
                  <c:v>11.1379310344828</c:v>
                </c:pt>
                <c:pt idx="29">
                  <c:v>11.1866666666667</c:v>
                </c:pt>
                <c:pt idx="30">
                  <c:v>11.1645161290323</c:v>
                </c:pt>
                <c:pt idx="31">
                  <c:v>11.171875</c:v>
                </c:pt>
                <c:pt idx="32">
                  <c:v>11.1787878787879</c:v>
                </c:pt>
                <c:pt idx="33">
                  <c:v>11.2264705882353</c:v>
                </c:pt>
                <c:pt idx="34">
                  <c:v>11.2</c:v>
                </c:pt>
                <c:pt idx="35">
                  <c:v>11.2138888888889</c:v>
                </c:pt>
                <c:pt idx="36">
                  <c:v>11.1945945945946</c:v>
                </c:pt>
                <c:pt idx="37">
                  <c:v>11.1947368421053</c:v>
                </c:pt>
                <c:pt idx="38">
                  <c:v>11.1948717948718</c:v>
                </c:pt>
                <c:pt idx="39">
                  <c:v>11.2125</c:v>
                </c:pt>
                <c:pt idx="40">
                  <c:v>11.2243902439024</c:v>
                </c:pt>
                <c:pt idx="41">
                  <c:v>11.2047619047619</c:v>
                </c:pt>
                <c:pt idx="42">
                  <c:v>11.2139534883721</c:v>
                </c:pt>
                <c:pt idx="43">
                  <c:v>11.25</c:v>
                </c:pt>
                <c:pt idx="44">
                  <c:v>11.2644444444444</c:v>
                </c:pt>
                <c:pt idx="45">
                  <c:v>11.2652173913043</c:v>
                </c:pt>
                <c:pt idx="46">
                  <c:v>11.2744680851064</c:v>
                </c:pt>
                <c:pt idx="47">
                  <c:v>11.3</c:v>
                </c:pt>
                <c:pt idx="48">
                  <c:v>11.3</c:v>
                </c:pt>
                <c:pt idx="49">
                  <c:v>11.27</c:v>
                </c:pt>
                <c:pt idx="50">
                  <c:v>11.2588235294118</c:v>
                </c:pt>
                <c:pt idx="51">
                  <c:v>11.2653846153846</c:v>
                </c:pt>
                <c:pt idx="52">
                  <c:v>11.2867924528302</c:v>
                </c:pt>
                <c:pt idx="53">
                  <c:v>11.3166666666667</c:v>
                </c:pt>
                <c:pt idx="54">
                  <c:v>11.3381818181818</c:v>
                </c:pt>
                <c:pt idx="55">
                  <c:v>11.3303571428571</c:v>
                </c:pt>
                <c:pt idx="56">
                  <c:v>11.2824561403509</c:v>
                </c:pt>
                <c:pt idx="57">
                  <c:v>11.2275862068966</c:v>
                </c:pt>
                <c:pt idx="58">
                  <c:v>11.2084745762712</c:v>
                </c:pt>
                <c:pt idx="59">
                  <c:v>11.2116666666667</c:v>
                </c:pt>
                <c:pt idx="60">
                  <c:v>11.2327868852459</c:v>
                </c:pt>
                <c:pt idx="61">
                  <c:v>11.2564516129032</c:v>
                </c:pt>
                <c:pt idx="62">
                  <c:v>11.2650793650794</c:v>
                </c:pt>
                <c:pt idx="63">
                  <c:v>11.265625</c:v>
                </c:pt>
                <c:pt idx="64">
                  <c:v>11.2476923076923</c:v>
                </c:pt>
                <c:pt idx="65">
                  <c:v>11.2348484848485</c:v>
                </c:pt>
                <c:pt idx="66">
                  <c:v>11.2283582089552</c:v>
                </c:pt>
                <c:pt idx="67">
                  <c:v>11.2397058823529</c:v>
                </c:pt>
                <c:pt idx="68">
                  <c:v>11.2376811594203</c:v>
                </c:pt>
                <c:pt idx="69">
                  <c:v>11.2042857142857</c:v>
                </c:pt>
                <c:pt idx="70">
                  <c:v>11.1788732394366</c:v>
                </c:pt>
                <c:pt idx="71">
                  <c:v>11.2013888888889</c:v>
                </c:pt>
                <c:pt idx="72">
                  <c:v>11.213698630137</c:v>
                </c:pt>
                <c:pt idx="73">
                  <c:v>11.2283783783784</c:v>
                </c:pt>
                <c:pt idx="74">
                  <c:v>11.2493333333333</c:v>
                </c:pt>
                <c:pt idx="75">
                  <c:v>11.2473684210526</c:v>
                </c:pt>
                <c:pt idx="76">
                  <c:v>11.2818181818182</c:v>
                </c:pt>
                <c:pt idx="77">
                  <c:v>11.3025641025641</c:v>
                </c:pt>
                <c:pt idx="78">
                  <c:v>11.3063291139241</c:v>
                </c:pt>
                <c:pt idx="79">
                  <c:v>11.305</c:v>
                </c:pt>
                <c:pt idx="80">
                  <c:v>11.3148148148148</c:v>
                </c:pt>
                <c:pt idx="81">
                  <c:v>11.2914634146341</c:v>
                </c:pt>
                <c:pt idx="82">
                  <c:v>11.2855421686747</c:v>
                </c:pt>
                <c:pt idx="83">
                  <c:v>11.2833333333333</c:v>
                </c:pt>
                <c:pt idx="84">
                  <c:v>11.2705882352941</c:v>
                </c:pt>
                <c:pt idx="85">
                  <c:v>11.2790697674419</c:v>
                </c:pt>
                <c:pt idx="86">
                  <c:v>11.2942528735632</c:v>
                </c:pt>
                <c:pt idx="87">
                  <c:v>11.2715909090909</c:v>
                </c:pt>
                <c:pt idx="88">
                  <c:v>11.2539325842697</c:v>
                </c:pt>
                <c:pt idx="89">
                  <c:v>11.2366666666667</c:v>
                </c:pt>
                <c:pt idx="90">
                  <c:v>11.2252747252747</c:v>
                </c:pt>
                <c:pt idx="91">
                  <c:v>11.225</c:v>
                </c:pt>
                <c:pt idx="92">
                  <c:v>11.2365591397849</c:v>
                </c:pt>
                <c:pt idx="93">
                  <c:v>11.2063829787234</c:v>
                </c:pt>
                <c:pt idx="94">
                  <c:v>11.1989473684211</c:v>
                </c:pt>
                <c:pt idx="95">
                  <c:v>11.2020833333333</c:v>
                </c:pt>
                <c:pt idx="96">
                  <c:v>11.2030927835052</c:v>
                </c:pt>
                <c:pt idx="97">
                  <c:v>11.2081632653061</c:v>
                </c:pt>
                <c:pt idx="98">
                  <c:v>11.2080808080808</c:v>
                </c:pt>
                <c:pt idx="99">
                  <c:v>11.219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354333"/>
        <c:axId val="7047467"/>
      </c:lineChart>
      <c:catAx>
        <c:axId val="31354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Lần đo 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7467"/>
        <c:crosses val="autoZero"/>
        <c:auto val="1"/>
        <c:lblAlgn val="ctr"/>
        <c:lblOffset val="100"/>
        <c:noMultiLvlLbl val="0"/>
      </c:catAx>
      <c:valAx>
        <c:axId val="7047467"/>
        <c:scaling>
          <c:orientation val="minMax"/>
          <c:max val="13"/>
          <c:min val="1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r_c (s⁻¹)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5433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1 – Mức thấp (Phông)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"Thực nghiệm"</c:f>
              <c:strCache>
                <c:ptCount val="1"/>
                <c:pt idx="0">
                  <c:v>Thực nghiệm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TanSuat!$C$9:$C$25</c:f>
                <c:numCache>
                  <c:formatCode>0.00</c:formatCode>
                  <c:ptCount val="17"/>
                  <c:pt idx="0">
                    <c:v>0</c:v>
                  </c:pt>
                  <c:pt idx="1">
                    <c:v>2</c:v>
                  </c:pt>
                  <c:pt idx="2">
                    <c:v>2.82842712474619</c:v>
                  </c:pt>
                  <c:pt idx="3">
                    <c:v>3</c:v>
                  </c:pt>
                  <c:pt idx="4">
                    <c:v>3.74165738677394</c:v>
                  </c:pt>
                  <c:pt idx="5">
                    <c:v>3.74165738677394</c:v>
                  </c:pt>
                  <c:pt idx="6">
                    <c:v>4.58257569495584</c:v>
                  </c:pt>
                  <c:pt idx="7">
                    <c:v>3.60555127546399</c:v>
                  </c:pt>
                  <c:pt idx="8">
                    <c:v>1.4142135623731</c:v>
                  </c:pt>
                  <c:pt idx="9">
                    <c:v>2.82842712474619</c:v>
                  </c:pt>
                  <c:pt idx="10">
                    <c:v>2.23606797749979</c:v>
                  </c:pt>
                  <c:pt idx="11">
                    <c:v>0</c:v>
                  </c:pt>
                  <c:pt idx="12">
                    <c:v>1.4142135623731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plus>
            <c:minus>
              <c:numRef>
                <c:f>TanSuat!$C$9:$C$25</c:f>
                <c:numCache>
                  <c:formatCode>0.00</c:formatCode>
                  <c:ptCount val="17"/>
                  <c:pt idx="0">
                    <c:v>0</c:v>
                  </c:pt>
                  <c:pt idx="1">
                    <c:v>2</c:v>
                  </c:pt>
                  <c:pt idx="2">
                    <c:v>2.82842712474619</c:v>
                  </c:pt>
                  <c:pt idx="3">
                    <c:v>3</c:v>
                  </c:pt>
                  <c:pt idx="4">
                    <c:v>3.74165738677394</c:v>
                  </c:pt>
                  <c:pt idx="5">
                    <c:v>3.74165738677394</c:v>
                  </c:pt>
                  <c:pt idx="6">
                    <c:v>4.58257569495584</c:v>
                  </c:pt>
                  <c:pt idx="7">
                    <c:v>3.60555127546399</c:v>
                  </c:pt>
                  <c:pt idx="8">
                    <c:v>1.4142135623731</c:v>
                  </c:pt>
                  <c:pt idx="9">
                    <c:v>2.82842712474619</c:v>
                  </c:pt>
                  <c:pt idx="10">
                    <c:v>2.23606797749979</c:v>
                  </c:pt>
                  <c:pt idx="11">
                    <c:v>0</c:v>
                  </c:pt>
                  <c:pt idx="12">
                    <c:v>1.4142135623731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TanSuat!$A$9:$A$25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TanSuat!$B$9:$B$25</c:f>
              <c:numCache>
                <c:formatCode>General</c:formatCode>
                <c:ptCount val="1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14</c:v>
                </c:pt>
                <c:pt idx="6">
                  <c:v>21</c:v>
                </c:pt>
                <c:pt idx="7">
                  <c:v>13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"Poisson"</c:f>
              <c:strCache>
                <c:ptCount val="1"/>
                <c:pt idx="0">
                  <c:v>Poisson</c:v>
                </c:pt>
              </c:strCache>
            </c:strRef>
          </c:tx>
          <c:spPr>
            <a:ln w="21960">
              <a:solidFill>
                <a:srgbClr val="127A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TanSuat!$A$9:$A$25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TanSuat!$D$9:$D$25</c:f>
              <c:numCache>
                <c:formatCode>0.00</c:formatCode>
                <c:ptCount val="17"/>
                <c:pt idx="0">
                  <c:v>0.400584794209042</c:v>
                </c:pt>
                <c:pt idx="1">
                  <c:v>2.21122806403391</c:v>
                </c:pt>
                <c:pt idx="2">
                  <c:v>6.1029894567336</c:v>
                </c:pt>
                <c:pt idx="3">
                  <c:v>11.2295006003898</c:v>
                </c:pt>
                <c:pt idx="4">
                  <c:v>15.4967108285379</c:v>
                </c:pt>
                <c:pt idx="5">
                  <c:v>17.1083687547059</c:v>
                </c:pt>
                <c:pt idx="6">
                  <c:v>15.7396992543294</c:v>
                </c:pt>
                <c:pt idx="7">
                  <c:v>12.4118771262712</c:v>
                </c:pt>
                <c:pt idx="8">
                  <c:v>8.56419521712713</c:v>
                </c:pt>
                <c:pt idx="9">
                  <c:v>5.25270639983797</c:v>
                </c:pt>
                <c:pt idx="10">
                  <c:v>2.89949393271056</c:v>
                </c:pt>
                <c:pt idx="11">
                  <c:v>1.45501877350566</c:v>
                </c:pt>
                <c:pt idx="12">
                  <c:v>0.669308635812605</c:v>
                </c:pt>
                <c:pt idx="13">
                  <c:v>0.284198743821967</c:v>
                </c:pt>
                <c:pt idx="14">
                  <c:v>0.112055504706947</c:v>
                </c:pt>
                <c:pt idx="15">
                  <c:v>0.0412364257321565</c:v>
                </c:pt>
                <c:pt idx="16">
                  <c:v>0.014226566877594</c:v>
                </c:pt>
              </c:numCache>
            </c:numRef>
          </c:yVal>
          <c:smooth val="1"/>
        </c:ser>
        <c:axId val="99571659"/>
        <c:axId val="84097541"/>
      </c:scatterChart>
      <c:valAx>
        <c:axId val="99571659"/>
        <c:scaling>
          <c:orientation val="minMax"/>
          <c:max val="16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đếm trong 10 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097541"/>
        <c:crosses val="autoZero"/>
        <c:crossBetween val="midCat"/>
      </c:valAx>
      <c:valAx>
        <c:axId val="8409754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lần xuất hiện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71659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2 – Mức trung bình (Ra-226)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"Thực nghiệm"</c:f>
              <c:strCache>
                <c:ptCount val="1"/>
                <c:pt idx="0">
                  <c:v>Thực nghiệm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TanSuat!$J$9:$J$53</c:f>
                <c:numCache>
                  <c:formatCode>0.00</c:formatCode>
                  <c:ptCount val="4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1</c:v>
                  </c:pt>
                  <c:pt idx="9">
                    <c:v>1.73205080756888</c:v>
                  </c:pt>
                  <c:pt idx="10">
                    <c:v>1</c:v>
                  </c:pt>
                  <c:pt idx="11">
                    <c:v>1</c:v>
                  </c:pt>
                  <c:pt idx="12">
                    <c:v>1.4142135623731</c:v>
                  </c:pt>
                  <c:pt idx="13">
                    <c:v>2.64575131106459</c:v>
                  </c:pt>
                  <c:pt idx="14">
                    <c:v>2.23606797749979</c:v>
                  </c:pt>
                  <c:pt idx="15">
                    <c:v>1.73205080756888</c:v>
                  </c:pt>
                  <c:pt idx="16">
                    <c:v>2</c:v>
                  </c:pt>
                  <c:pt idx="17">
                    <c:v>2.23606797749979</c:v>
                  </c:pt>
                  <c:pt idx="18">
                    <c:v>2</c:v>
                  </c:pt>
                  <c:pt idx="19">
                    <c:v>2.64575131106459</c:v>
                  </c:pt>
                  <c:pt idx="20">
                    <c:v>2.23606797749979</c:v>
                  </c:pt>
                  <c:pt idx="21">
                    <c:v>1.73205080756888</c:v>
                  </c:pt>
                  <c:pt idx="22">
                    <c:v>2.44948974278318</c:v>
                  </c:pt>
                  <c:pt idx="23">
                    <c:v>1.73205080756888</c:v>
                  </c:pt>
                  <c:pt idx="24">
                    <c:v>1</c:v>
                  </c:pt>
                  <c:pt idx="25">
                    <c:v>2.44948974278318</c:v>
                  </c:pt>
                  <c:pt idx="26">
                    <c:v>2.44948974278318</c:v>
                  </c:pt>
                  <c:pt idx="27">
                    <c:v>3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2.23606797749979</c:v>
                  </c:pt>
                  <c:pt idx="32">
                    <c:v>1.73205080756888</c:v>
                  </c:pt>
                  <c:pt idx="33">
                    <c:v>0</c:v>
                  </c:pt>
                  <c:pt idx="34">
                    <c:v>1.4142135623731</c:v>
                  </c:pt>
                  <c:pt idx="35">
                    <c:v>0</c:v>
                  </c:pt>
                  <c:pt idx="36">
                    <c:v>1</c:v>
                  </c:pt>
                  <c:pt idx="37">
                    <c:v>0</c:v>
                  </c:pt>
                  <c:pt idx="38">
                    <c:v>1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</c:numCache>
              </c:numRef>
            </c:plus>
            <c:minus>
              <c:numRef>
                <c:f>TanSuat!$J$9:$J$53</c:f>
                <c:numCache>
                  <c:formatCode>0.00</c:formatCode>
                  <c:ptCount val="45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1</c:v>
                  </c:pt>
                  <c:pt idx="9">
                    <c:v>1.73205080756888</c:v>
                  </c:pt>
                  <c:pt idx="10">
                    <c:v>1</c:v>
                  </c:pt>
                  <c:pt idx="11">
                    <c:v>1</c:v>
                  </c:pt>
                  <c:pt idx="12">
                    <c:v>1.4142135623731</c:v>
                  </c:pt>
                  <c:pt idx="13">
                    <c:v>2.64575131106459</c:v>
                  </c:pt>
                  <c:pt idx="14">
                    <c:v>2.23606797749979</c:v>
                  </c:pt>
                  <c:pt idx="15">
                    <c:v>1.73205080756888</c:v>
                  </c:pt>
                  <c:pt idx="16">
                    <c:v>2</c:v>
                  </c:pt>
                  <c:pt idx="17">
                    <c:v>2.23606797749979</c:v>
                  </c:pt>
                  <c:pt idx="18">
                    <c:v>2</c:v>
                  </c:pt>
                  <c:pt idx="19">
                    <c:v>2.64575131106459</c:v>
                  </c:pt>
                  <c:pt idx="20">
                    <c:v>2.23606797749979</c:v>
                  </c:pt>
                  <c:pt idx="21">
                    <c:v>1.73205080756888</c:v>
                  </c:pt>
                  <c:pt idx="22">
                    <c:v>2.44948974278318</c:v>
                  </c:pt>
                  <c:pt idx="23">
                    <c:v>1.73205080756888</c:v>
                  </c:pt>
                  <c:pt idx="24">
                    <c:v>1</c:v>
                  </c:pt>
                  <c:pt idx="25">
                    <c:v>2.44948974278318</c:v>
                  </c:pt>
                  <c:pt idx="26">
                    <c:v>2.44948974278318</c:v>
                  </c:pt>
                  <c:pt idx="27">
                    <c:v>3</c:v>
                  </c:pt>
                  <c:pt idx="28">
                    <c:v>0</c:v>
                  </c:pt>
                  <c:pt idx="29">
                    <c:v>2</c:v>
                  </c:pt>
                  <c:pt idx="30">
                    <c:v>1</c:v>
                  </c:pt>
                  <c:pt idx="31">
                    <c:v>2.23606797749979</c:v>
                  </c:pt>
                  <c:pt idx="32">
                    <c:v>1.73205080756888</c:v>
                  </c:pt>
                  <c:pt idx="33">
                    <c:v>0</c:v>
                  </c:pt>
                  <c:pt idx="34">
                    <c:v>1.4142135623731</c:v>
                  </c:pt>
                  <c:pt idx="35">
                    <c:v>0</c:v>
                  </c:pt>
                  <c:pt idx="36">
                    <c:v>1</c:v>
                  </c:pt>
                  <c:pt idx="37">
                    <c:v>0</c:v>
                  </c:pt>
                  <c:pt idx="38">
                    <c:v>1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TanSuat!$H$9:$H$53</c:f>
              <c:numCache>
                <c:formatCode>General</c:formatCode>
                <c:ptCount val="4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</c:numCache>
            </c:numRef>
          </c:xVal>
          <c:yVal>
            <c:numRef>
              <c:f>TanSuat!$I$9:$I$53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7</c:v>
                </c:pt>
                <c:pt idx="20">
                  <c:v>5</c:v>
                </c:pt>
                <c:pt idx="21">
                  <c:v>3</c:v>
                </c:pt>
                <c:pt idx="22">
                  <c:v>6</c:v>
                </c:pt>
                <c:pt idx="23">
                  <c:v>3</c:v>
                </c:pt>
                <c:pt idx="24">
                  <c:v>1</c:v>
                </c:pt>
                <c:pt idx="25">
                  <c:v>6</c:v>
                </c:pt>
                <c:pt idx="26">
                  <c:v>6</c:v>
                </c:pt>
                <c:pt idx="27">
                  <c:v>9</c:v>
                </c:pt>
                <c:pt idx="28">
                  <c:v>0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3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"Poisson"</c:f>
              <c:strCache>
                <c:ptCount val="1"/>
                <c:pt idx="0">
                  <c:v>Poisson</c:v>
                </c:pt>
              </c:strCache>
            </c:strRef>
          </c:tx>
          <c:spPr>
            <a:ln w="21960">
              <a:solidFill>
                <a:srgbClr val="127A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TanSuat!$H$9:$H$53</c:f>
              <c:numCache>
                <c:formatCode>General</c:formatCode>
                <c:ptCount val="4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</c:numCache>
            </c:numRef>
          </c:xVal>
          <c:yVal>
            <c:numRef>
              <c:f>TanSuat!$K$9:$K$53</c:f>
              <c:numCache>
                <c:formatCode>0.00</c:formatCode>
                <c:ptCount val="45"/>
                <c:pt idx="0">
                  <c:v>0.0103375253590887</c:v>
                </c:pt>
                <c:pt idx="1">
                  <c:v>0.0202910854905542</c:v>
                </c:pt>
                <c:pt idx="2">
                  <c:v>0.0380181156327566</c:v>
                </c:pt>
                <c:pt idx="3">
                  <c:v>0.0681350750600967</c:v>
                </c:pt>
                <c:pt idx="4">
                  <c:v>0.117021991415716</c:v>
                </c:pt>
                <c:pt idx="5">
                  <c:v>0.192945859446233</c:v>
                </c:pt>
                <c:pt idx="6">
                  <c:v>0.30589339716822</c:v>
                </c:pt>
                <c:pt idx="7">
                  <c:v>0.466997253010149</c:v>
                </c:pt>
                <c:pt idx="8">
                  <c:v>0.687486670324226</c:v>
                </c:pt>
                <c:pt idx="9">
                  <c:v>0.977179329336711</c:v>
                </c:pt>
                <c:pt idx="10">
                  <c:v>1.34264439850864</c:v>
                </c:pt>
                <c:pt idx="11">
                  <c:v>1.7852839389202</c:v>
                </c:pt>
                <c:pt idx="12">
                  <c:v>2.29966887382158</c:v>
                </c:pt>
                <c:pt idx="13">
                  <c:v>2.87249548420987</c:v>
                </c:pt>
                <c:pt idx="14">
                  <c:v>3.48247834879796</c:v>
                </c:pt>
                <c:pt idx="15">
                  <c:v>4.10136450107005</c:v>
                </c:pt>
                <c:pt idx="16">
                  <c:v>4.69606235372521</c:v>
                </c:pt>
                <c:pt idx="17">
                  <c:v>5.2316673032582</c:v>
                </c:pt>
                <c:pt idx="18">
                  <c:v>5.67498226948165</c:v>
                </c:pt>
                <c:pt idx="19">
                  <c:v>5.99801972174446</c:v>
                </c:pt>
                <c:pt idx="20">
                  <c:v>6.18095932325766</c:v>
                </c:pt>
                <c:pt idx="21">
                  <c:v>6.21412544645563</c:v>
                </c:pt>
                <c:pt idx="22">
                  <c:v>6.09872025959288</c:v>
                </c:pt>
                <c:pt idx="23">
                  <c:v>5.84626160698648</c:v>
                </c:pt>
                <c:pt idx="24">
                  <c:v>5.47688416909051</c:v>
                </c:pt>
                <c:pt idx="25">
                  <c:v>5.01682589888691</c:v>
                </c:pt>
                <c:pt idx="26">
                  <c:v>4.49551225113301</c:v>
                </c:pt>
                <c:pt idx="27">
                  <c:v>3.94265989344048</c:v>
                </c:pt>
                <c:pt idx="28">
                  <c:v>3.38575918349201</c:v>
                </c:pt>
                <c:pt idx="29">
                  <c:v>2.84818354170492</c:v>
                </c:pt>
                <c:pt idx="30">
                  <c:v>2.34804251178153</c:v>
                </c:pt>
                <c:pt idx="31">
                  <c:v>1.89777083011049</c:v>
                </c:pt>
                <c:pt idx="32">
                  <c:v>1.50434833879143</c:v>
                </c:pt>
                <c:pt idx="33">
                  <c:v>1.16998563254684</c:v>
                </c:pt>
                <c:pt idx="34">
                  <c:v>0.893089032844089</c:v>
                </c:pt>
                <c:pt idx="35">
                  <c:v>0.669329635160607</c:v>
                </c:pt>
                <c:pt idx="36">
                  <c:v>0.492674420737861</c:v>
                </c:pt>
                <c:pt idx="37">
                  <c:v>0.356281396891485</c:v>
                </c:pt>
                <c:pt idx="38">
                  <c:v>0.253205503101155</c:v>
                </c:pt>
                <c:pt idx="39">
                  <c:v>0.176900522675078</c:v>
                </c:pt>
                <c:pt idx="40">
                  <c:v>0.121530659077779</c:v>
                </c:pt>
                <c:pt idx="41">
                  <c:v>0.0821228486423941</c:v>
                </c:pt>
                <c:pt idx="42">
                  <c:v>0.0545984487264433</c:v>
                </c:pt>
                <c:pt idx="43">
                  <c:v>0.0357229850238729</c:v>
                </c:pt>
                <c:pt idx="44">
                  <c:v>0.0230078350419381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"Gauss"</c:f>
              <c:strCache>
                <c:ptCount val="1"/>
                <c:pt idx="0">
                  <c:v>Gauss</c:v>
                </c:pt>
              </c:strCache>
            </c:strRef>
          </c:tx>
          <c:spPr>
            <a:ln w="19080">
              <a:solidFill>
                <a:srgbClr val="D354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TanSuat!$H$9:$H$53</c:f>
              <c:numCache>
                <c:formatCode>General</c:formatCode>
                <c:ptCount val="4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</c:numCache>
            </c:numRef>
          </c:xVal>
          <c:yVal>
            <c:numRef>
              <c:f>TanSuat!$L$9:$L$53</c:f>
              <c:numCache>
                <c:formatCode>0.00</c:formatCode>
                <c:ptCount val="45"/>
                <c:pt idx="0">
                  <c:v>0.0263775048630157</c:v>
                </c:pt>
                <c:pt idx="1">
                  <c:v>0.0436053638062963</c:v>
                </c:pt>
                <c:pt idx="2">
                  <c:v>0.070357451996944</c:v>
                </c:pt>
                <c:pt idx="3">
                  <c:v>0.110801152626807</c:v>
                </c:pt>
                <c:pt idx="4">
                  <c:v>0.170310898364607</c:v>
                </c:pt>
                <c:pt idx="5">
                  <c:v>0.255508050122189</c:v>
                </c:pt>
                <c:pt idx="6">
                  <c:v>0.374137053803276</c:v>
                </c:pt>
                <c:pt idx="7">
                  <c:v>0.534713122904453</c:v>
                </c:pt>
                <c:pt idx="8">
                  <c:v>0.745890283390118</c:v>
                </c:pt>
                <c:pt idx="9">
                  <c:v>1.01553066776081</c:v>
                </c:pt>
                <c:pt idx="10">
                  <c:v>1.34950694169842</c:v>
                </c:pt>
                <c:pt idx="11">
                  <c:v>1.7503350479069</c:v>
                </c:pt>
                <c:pt idx="12">
                  <c:v>2.21580348703921</c:v>
                </c:pt>
                <c:pt idx="13">
                  <c:v>2.73782244997929</c:v>
                </c:pt>
                <c:pt idx="14">
                  <c:v>3.30174330279174</c:v>
                </c:pt>
                <c:pt idx="15">
                  <c:v>3.88638048942708</c:v>
                </c:pt>
                <c:pt idx="16">
                  <c:v>4.46489566870945</c:v>
                </c:pt>
                <c:pt idx="17">
                  <c:v>5.00658160681711</c:v>
                </c:pt>
                <c:pt idx="18">
                  <c:v>5.47942857506043</c:v>
                </c:pt>
                <c:pt idx="19">
                  <c:v>5.85319815874443</c:v>
                </c:pt>
                <c:pt idx="20">
                  <c:v>6.10260373859204</c:v>
                </c:pt>
                <c:pt idx="21">
                  <c:v>6.21013584811117</c:v>
                </c:pt>
                <c:pt idx="22">
                  <c:v>6.16809447059775</c:v>
                </c:pt>
                <c:pt idx="23">
                  <c:v>5.97950067576545</c:v>
                </c:pt>
                <c:pt idx="24">
                  <c:v>5.65773768810119</c:v>
                </c:pt>
                <c:pt idx="25">
                  <c:v>5.2249806148095</c:v>
                </c:pt>
                <c:pt idx="26">
                  <c:v>4.70967073069381</c:v>
                </c:pt>
                <c:pt idx="27">
                  <c:v>4.14343369234547</c:v>
                </c:pt>
                <c:pt idx="28">
                  <c:v>3.55790401546894</c:v>
                </c:pt>
                <c:pt idx="29">
                  <c:v>2.98189295085713</c:v>
                </c:pt>
                <c:pt idx="30">
                  <c:v>2.43923619341718</c:v>
                </c:pt>
                <c:pt idx="31">
                  <c:v>1.94750978753278</c:v>
                </c:pt>
                <c:pt idx="32">
                  <c:v>1.51764232114317</c:v>
                </c:pt>
                <c:pt idx="33">
                  <c:v>1.15431195892207</c:v>
                </c:pt>
                <c:pt idx="34">
                  <c:v>0.856921319130013</c:v>
                </c:pt>
                <c:pt idx="35">
                  <c:v>0.620901467980627</c:v>
                </c:pt>
                <c:pt idx="36">
                  <c:v>0.439105029947629</c:v>
                </c:pt>
                <c:pt idx="37">
                  <c:v>0.303094547469683</c:v>
                </c:pt>
                <c:pt idx="38">
                  <c:v>0.204198158754854</c:v>
                </c:pt>
                <c:pt idx="39">
                  <c:v>0.1342732516472</c:v>
                </c:pt>
                <c:pt idx="40">
                  <c:v>0.0861769614419412</c:v>
                </c:pt>
                <c:pt idx="41">
                  <c:v>0.0539829774055097</c:v>
                </c:pt>
                <c:pt idx="42">
                  <c:v>0.0330055122716794</c:v>
                </c:pt>
                <c:pt idx="43">
                  <c:v>0.0196960939717872</c:v>
                </c:pt>
                <c:pt idx="44">
                  <c:v>0.0114719626385515</c:v>
                </c:pt>
              </c:numCache>
            </c:numRef>
          </c:yVal>
          <c:smooth val="1"/>
        </c:ser>
        <c:axId val="28038610"/>
        <c:axId val="66151317"/>
      </c:scatterChart>
      <c:valAx>
        <c:axId val="28038610"/>
        <c:scaling>
          <c:orientation val="minMax"/>
          <c:max val="64"/>
          <c:min val="2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đếm trong 10 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151317"/>
        <c:crosses val="autoZero"/>
        <c:crossBetween val="midCat"/>
      </c:valAx>
      <c:valAx>
        <c:axId val="661513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lần xuất hiện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038610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Bộ 3 – Mức cao (Ra-226)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"Thực nghiệm"</c:f>
              <c:strCache>
                <c:ptCount val="1"/>
                <c:pt idx="0">
                  <c:v>Thực nghiệm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TanSuat!$Q$9:$Q$84</c:f>
                <c:numCache>
                  <c:formatCode>0.00</c:formatCode>
                  <c:ptCount val="7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1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</c:v>
                  </c:pt>
                  <c:pt idx="19">
                    <c:v>1.73205080756888</c:v>
                  </c:pt>
                  <c:pt idx="20">
                    <c:v>1.4142135623731</c:v>
                  </c:pt>
                  <c:pt idx="21">
                    <c:v>0</c:v>
                  </c:pt>
                  <c:pt idx="22">
                    <c:v>1.4142135623731</c:v>
                  </c:pt>
                  <c:pt idx="23">
                    <c:v>1</c:v>
                  </c:pt>
                  <c:pt idx="24">
                    <c:v>0</c:v>
                  </c:pt>
                  <c:pt idx="25">
                    <c:v>1</c:v>
                  </c:pt>
                  <c:pt idx="26">
                    <c:v>1.4142135623731</c:v>
                  </c:pt>
                  <c:pt idx="27">
                    <c:v>1.73205080756888</c:v>
                  </c:pt>
                  <c:pt idx="28">
                    <c:v>1.4142135623731</c:v>
                  </c:pt>
                  <c:pt idx="29">
                    <c:v>1.73205080756888</c:v>
                  </c:pt>
                  <c:pt idx="30">
                    <c:v>2</c:v>
                  </c:pt>
                  <c:pt idx="31">
                    <c:v>1</c:v>
                  </c:pt>
                  <c:pt idx="32">
                    <c:v>1.4142135623731</c:v>
                  </c:pt>
                  <c:pt idx="33">
                    <c:v>1.4142135623731</c:v>
                  </c:pt>
                  <c:pt idx="34">
                    <c:v>2</c:v>
                  </c:pt>
                  <c:pt idx="35">
                    <c:v>1</c:v>
                  </c:pt>
                  <c:pt idx="36">
                    <c:v>1.73205080756888</c:v>
                  </c:pt>
                  <c:pt idx="37">
                    <c:v>2.64575131106459</c:v>
                  </c:pt>
                  <c:pt idx="38">
                    <c:v>2.44948974278318</c:v>
                  </c:pt>
                  <c:pt idx="39">
                    <c:v>2</c:v>
                  </c:pt>
                  <c:pt idx="40">
                    <c:v>1.73205080756888</c:v>
                  </c:pt>
                  <c:pt idx="41">
                    <c:v>1.73205080756888</c:v>
                  </c:pt>
                  <c:pt idx="42">
                    <c:v>2</c:v>
                  </c:pt>
                  <c:pt idx="43">
                    <c:v>1.4142135623731</c:v>
                  </c:pt>
                  <c:pt idx="44">
                    <c:v>1.73205080756888</c:v>
                  </c:pt>
                  <c:pt idx="45">
                    <c:v>1.73205080756888</c:v>
                  </c:pt>
                  <c:pt idx="46">
                    <c:v>1.73205080756888</c:v>
                  </c:pt>
                  <c:pt idx="47">
                    <c:v>1</c:v>
                  </c:pt>
                  <c:pt idx="48">
                    <c:v>1.73205080756888</c:v>
                  </c:pt>
                  <c:pt idx="49">
                    <c:v>1</c:v>
                  </c:pt>
                  <c:pt idx="50">
                    <c:v>1.73205080756888</c:v>
                  </c:pt>
                  <c:pt idx="51">
                    <c:v>1.73205080756888</c:v>
                  </c:pt>
                  <c:pt idx="52">
                    <c:v>1</c:v>
                  </c:pt>
                  <c:pt idx="53">
                    <c:v>2.23606797749979</c:v>
                  </c:pt>
                  <c:pt idx="54">
                    <c:v>1.4142135623731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1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1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</c:numCache>
              </c:numRef>
            </c:plus>
            <c:minus>
              <c:numRef>
                <c:f>TanSuat!$Q$9:$Q$84</c:f>
                <c:numCache>
                  <c:formatCode>0.00</c:formatCode>
                  <c:ptCount val="7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0</c:v>
                  </c:pt>
                  <c:pt idx="9">
                    <c:v>1</c:v>
                  </c:pt>
                  <c:pt idx="10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</c:v>
                  </c:pt>
                  <c:pt idx="14">
                    <c:v>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1</c:v>
                  </c:pt>
                  <c:pt idx="19">
                    <c:v>1.73205080756888</c:v>
                  </c:pt>
                  <c:pt idx="20">
                    <c:v>1.4142135623731</c:v>
                  </c:pt>
                  <c:pt idx="21">
                    <c:v>0</c:v>
                  </c:pt>
                  <c:pt idx="22">
                    <c:v>1.4142135623731</c:v>
                  </c:pt>
                  <c:pt idx="23">
                    <c:v>1</c:v>
                  </c:pt>
                  <c:pt idx="24">
                    <c:v>0</c:v>
                  </c:pt>
                  <c:pt idx="25">
                    <c:v>1</c:v>
                  </c:pt>
                  <c:pt idx="26">
                    <c:v>1.4142135623731</c:v>
                  </c:pt>
                  <c:pt idx="27">
                    <c:v>1.73205080756888</c:v>
                  </c:pt>
                  <c:pt idx="28">
                    <c:v>1.4142135623731</c:v>
                  </c:pt>
                  <c:pt idx="29">
                    <c:v>1.73205080756888</c:v>
                  </c:pt>
                  <c:pt idx="30">
                    <c:v>2</c:v>
                  </c:pt>
                  <c:pt idx="31">
                    <c:v>1</c:v>
                  </c:pt>
                  <c:pt idx="32">
                    <c:v>1.4142135623731</c:v>
                  </c:pt>
                  <c:pt idx="33">
                    <c:v>1.4142135623731</c:v>
                  </c:pt>
                  <c:pt idx="34">
                    <c:v>2</c:v>
                  </c:pt>
                  <c:pt idx="35">
                    <c:v>1</c:v>
                  </c:pt>
                  <c:pt idx="36">
                    <c:v>1.73205080756888</c:v>
                  </c:pt>
                  <c:pt idx="37">
                    <c:v>2.64575131106459</c:v>
                  </c:pt>
                  <c:pt idx="38">
                    <c:v>2.44948974278318</c:v>
                  </c:pt>
                  <c:pt idx="39">
                    <c:v>2</c:v>
                  </c:pt>
                  <c:pt idx="40">
                    <c:v>1.73205080756888</c:v>
                  </c:pt>
                  <c:pt idx="41">
                    <c:v>1.73205080756888</c:v>
                  </c:pt>
                  <c:pt idx="42">
                    <c:v>2</c:v>
                  </c:pt>
                  <c:pt idx="43">
                    <c:v>1.4142135623731</c:v>
                  </c:pt>
                  <c:pt idx="44">
                    <c:v>1.73205080756888</c:v>
                  </c:pt>
                  <c:pt idx="45">
                    <c:v>1.73205080756888</c:v>
                  </c:pt>
                  <c:pt idx="46">
                    <c:v>1.73205080756888</c:v>
                  </c:pt>
                  <c:pt idx="47">
                    <c:v>1</c:v>
                  </c:pt>
                  <c:pt idx="48">
                    <c:v>1.73205080756888</c:v>
                  </c:pt>
                  <c:pt idx="49">
                    <c:v>1</c:v>
                  </c:pt>
                  <c:pt idx="50">
                    <c:v>1.73205080756888</c:v>
                  </c:pt>
                  <c:pt idx="51">
                    <c:v>1.73205080756888</c:v>
                  </c:pt>
                  <c:pt idx="52">
                    <c:v>1</c:v>
                  </c:pt>
                  <c:pt idx="53">
                    <c:v>2.23606797749979</c:v>
                  </c:pt>
                  <c:pt idx="54">
                    <c:v>1.4142135623731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1</c:v>
                  </c:pt>
                  <c:pt idx="60">
                    <c:v>0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1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xVal>
            <c:numRef>
              <c:f>TanSuat!$O$9:$O$84</c:f>
              <c:numCache>
                <c:formatCode>General</c:formatCode>
                <c:ptCount val="76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  <c:pt idx="11">
                  <c:v>86</c:v>
                </c:pt>
                <c:pt idx="12">
                  <c:v>87</c:v>
                </c:pt>
                <c:pt idx="13">
                  <c:v>88</c:v>
                </c:pt>
                <c:pt idx="14">
                  <c:v>89</c:v>
                </c:pt>
                <c:pt idx="15">
                  <c:v>90</c:v>
                </c:pt>
                <c:pt idx="16">
                  <c:v>91</c:v>
                </c:pt>
                <c:pt idx="17">
                  <c:v>92</c:v>
                </c:pt>
                <c:pt idx="18">
                  <c:v>93</c:v>
                </c:pt>
                <c:pt idx="19">
                  <c:v>94</c:v>
                </c:pt>
                <c:pt idx="20">
                  <c:v>95</c:v>
                </c:pt>
                <c:pt idx="21">
                  <c:v>96</c:v>
                </c:pt>
                <c:pt idx="22">
                  <c:v>97</c:v>
                </c:pt>
                <c:pt idx="23">
                  <c:v>98</c:v>
                </c:pt>
                <c:pt idx="24">
                  <c:v>99</c:v>
                </c:pt>
                <c:pt idx="25">
                  <c:v>100</c:v>
                </c:pt>
                <c:pt idx="26">
                  <c:v>101</c:v>
                </c:pt>
                <c:pt idx="27">
                  <c:v>102</c:v>
                </c:pt>
                <c:pt idx="28">
                  <c:v>103</c:v>
                </c:pt>
                <c:pt idx="29">
                  <c:v>104</c:v>
                </c:pt>
                <c:pt idx="30">
                  <c:v>105</c:v>
                </c:pt>
                <c:pt idx="31">
                  <c:v>106</c:v>
                </c:pt>
                <c:pt idx="32">
                  <c:v>107</c:v>
                </c:pt>
                <c:pt idx="33">
                  <c:v>108</c:v>
                </c:pt>
                <c:pt idx="34">
                  <c:v>109</c:v>
                </c:pt>
                <c:pt idx="35">
                  <c:v>110</c:v>
                </c:pt>
                <c:pt idx="36">
                  <c:v>111</c:v>
                </c:pt>
                <c:pt idx="37">
                  <c:v>112</c:v>
                </c:pt>
                <c:pt idx="38">
                  <c:v>113</c:v>
                </c:pt>
                <c:pt idx="39">
                  <c:v>114</c:v>
                </c:pt>
                <c:pt idx="40">
                  <c:v>115</c:v>
                </c:pt>
                <c:pt idx="41">
                  <c:v>116</c:v>
                </c:pt>
                <c:pt idx="42">
                  <c:v>117</c:v>
                </c:pt>
                <c:pt idx="43">
                  <c:v>118</c:v>
                </c:pt>
                <c:pt idx="44">
                  <c:v>119</c:v>
                </c:pt>
                <c:pt idx="45">
                  <c:v>120</c:v>
                </c:pt>
                <c:pt idx="46">
                  <c:v>121</c:v>
                </c:pt>
                <c:pt idx="47">
                  <c:v>122</c:v>
                </c:pt>
                <c:pt idx="48">
                  <c:v>123</c:v>
                </c:pt>
                <c:pt idx="49">
                  <c:v>124</c:v>
                </c:pt>
                <c:pt idx="50">
                  <c:v>125</c:v>
                </c:pt>
                <c:pt idx="51">
                  <c:v>126</c:v>
                </c:pt>
                <c:pt idx="52">
                  <c:v>127</c:v>
                </c:pt>
                <c:pt idx="53">
                  <c:v>128</c:v>
                </c:pt>
                <c:pt idx="54">
                  <c:v>129</c:v>
                </c:pt>
                <c:pt idx="55">
                  <c:v>130</c:v>
                </c:pt>
                <c:pt idx="56">
                  <c:v>131</c:v>
                </c:pt>
                <c:pt idx="57">
                  <c:v>132</c:v>
                </c:pt>
                <c:pt idx="58">
                  <c:v>133</c:v>
                </c:pt>
                <c:pt idx="59">
                  <c:v>134</c:v>
                </c:pt>
                <c:pt idx="60">
                  <c:v>135</c:v>
                </c:pt>
                <c:pt idx="61">
                  <c:v>136</c:v>
                </c:pt>
                <c:pt idx="62">
                  <c:v>137</c:v>
                </c:pt>
                <c:pt idx="63">
                  <c:v>138</c:v>
                </c:pt>
                <c:pt idx="64">
                  <c:v>139</c:v>
                </c:pt>
                <c:pt idx="65">
                  <c:v>140</c:v>
                </c:pt>
                <c:pt idx="66">
                  <c:v>141</c:v>
                </c:pt>
                <c:pt idx="67">
                  <c:v>142</c:v>
                </c:pt>
                <c:pt idx="68">
                  <c:v>143</c:v>
                </c:pt>
                <c:pt idx="69">
                  <c:v>144</c:v>
                </c:pt>
                <c:pt idx="70">
                  <c:v>145</c:v>
                </c:pt>
                <c:pt idx="71">
                  <c:v>146</c:v>
                </c:pt>
                <c:pt idx="72">
                  <c:v>147</c:v>
                </c:pt>
                <c:pt idx="73">
                  <c:v>148</c:v>
                </c:pt>
                <c:pt idx="74">
                  <c:v>149</c:v>
                </c:pt>
                <c:pt idx="75">
                  <c:v>150</c:v>
                </c:pt>
              </c:numCache>
            </c:numRef>
          </c:xVal>
          <c:yVal>
            <c:numRef>
              <c:f>TanSuat!$P$9:$P$84</c:f>
              <c:numCache>
                <c:formatCode>General</c:formatCode>
                <c:ptCount val="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6">
                  <c:v>3</c:v>
                </c:pt>
                <c:pt idx="37">
                  <c:v>7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5</c:v>
                </c:pt>
                <c:pt idx="54">
                  <c:v>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"Poisson"</c:f>
              <c:strCache>
                <c:ptCount val="1"/>
                <c:pt idx="0">
                  <c:v>Poisson</c:v>
                </c:pt>
              </c:strCache>
            </c:strRef>
          </c:tx>
          <c:spPr>
            <a:ln w="21960">
              <a:solidFill>
                <a:srgbClr val="127A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TanSuat!$O$9:$O$84</c:f>
              <c:numCache>
                <c:formatCode>General</c:formatCode>
                <c:ptCount val="76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  <c:pt idx="11">
                  <c:v>86</c:v>
                </c:pt>
                <c:pt idx="12">
                  <c:v>87</c:v>
                </c:pt>
                <c:pt idx="13">
                  <c:v>88</c:v>
                </c:pt>
                <c:pt idx="14">
                  <c:v>89</c:v>
                </c:pt>
                <c:pt idx="15">
                  <c:v>90</c:v>
                </c:pt>
                <c:pt idx="16">
                  <c:v>91</c:v>
                </c:pt>
                <c:pt idx="17">
                  <c:v>92</c:v>
                </c:pt>
                <c:pt idx="18">
                  <c:v>93</c:v>
                </c:pt>
                <c:pt idx="19">
                  <c:v>94</c:v>
                </c:pt>
                <c:pt idx="20">
                  <c:v>95</c:v>
                </c:pt>
                <c:pt idx="21">
                  <c:v>96</c:v>
                </c:pt>
                <c:pt idx="22">
                  <c:v>97</c:v>
                </c:pt>
                <c:pt idx="23">
                  <c:v>98</c:v>
                </c:pt>
                <c:pt idx="24">
                  <c:v>99</c:v>
                </c:pt>
                <c:pt idx="25">
                  <c:v>100</c:v>
                </c:pt>
                <c:pt idx="26">
                  <c:v>101</c:v>
                </c:pt>
                <c:pt idx="27">
                  <c:v>102</c:v>
                </c:pt>
                <c:pt idx="28">
                  <c:v>103</c:v>
                </c:pt>
                <c:pt idx="29">
                  <c:v>104</c:v>
                </c:pt>
                <c:pt idx="30">
                  <c:v>105</c:v>
                </c:pt>
                <c:pt idx="31">
                  <c:v>106</c:v>
                </c:pt>
                <c:pt idx="32">
                  <c:v>107</c:v>
                </c:pt>
                <c:pt idx="33">
                  <c:v>108</c:v>
                </c:pt>
                <c:pt idx="34">
                  <c:v>109</c:v>
                </c:pt>
                <c:pt idx="35">
                  <c:v>110</c:v>
                </c:pt>
                <c:pt idx="36">
                  <c:v>111</c:v>
                </c:pt>
                <c:pt idx="37">
                  <c:v>112</c:v>
                </c:pt>
                <c:pt idx="38">
                  <c:v>113</c:v>
                </c:pt>
                <c:pt idx="39">
                  <c:v>114</c:v>
                </c:pt>
                <c:pt idx="40">
                  <c:v>115</c:v>
                </c:pt>
                <c:pt idx="41">
                  <c:v>116</c:v>
                </c:pt>
                <c:pt idx="42">
                  <c:v>117</c:v>
                </c:pt>
                <c:pt idx="43">
                  <c:v>118</c:v>
                </c:pt>
                <c:pt idx="44">
                  <c:v>119</c:v>
                </c:pt>
                <c:pt idx="45">
                  <c:v>120</c:v>
                </c:pt>
                <c:pt idx="46">
                  <c:v>121</c:v>
                </c:pt>
                <c:pt idx="47">
                  <c:v>122</c:v>
                </c:pt>
                <c:pt idx="48">
                  <c:v>123</c:v>
                </c:pt>
                <c:pt idx="49">
                  <c:v>124</c:v>
                </c:pt>
                <c:pt idx="50">
                  <c:v>125</c:v>
                </c:pt>
                <c:pt idx="51">
                  <c:v>126</c:v>
                </c:pt>
                <c:pt idx="52">
                  <c:v>127</c:v>
                </c:pt>
                <c:pt idx="53">
                  <c:v>128</c:v>
                </c:pt>
                <c:pt idx="54">
                  <c:v>129</c:v>
                </c:pt>
                <c:pt idx="55">
                  <c:v>130</c:v>
                </c:pt>
                <c:pt idx="56">
                  <c:v>131</c:v>
                </c:pt>
                <c:pt idx="57">
                  <c:v>132</c:v>
                </c:pt>
                <c:pt idx="58">
                  <c:v>133</c:v>
                </c:pt>
                <c:pt idx="59">
                  <c:v>134</c:v>
                </c:pt>
                <c:pt idx="60">
                  <c:v>135</c:v>
                </c:pt>
                <c:pt idx="61">
                  <c:v>136</c:v>
                </c:pt>
                <c:pt idx="62">
                  <c:v>137</c:v>
                </c:pt>
                <c:pt idx="63">
                  <c:v>138</c:v>
                </c:pt>
                <c:pt idx="64">
                  <c:v>139</c:v>
                </c:pt>
                <c:pt idx="65">
                  <c:v>140</c:v>
                </c:pt>
                <c:pt idx="66">
                  <c:v>141</c:v>
                </c:pt>
                <c:pt idx="67">
                  <c:v>142</c:v>
                </c:pt>
                <c:pt idx="68">
                  <c:v>143</c:v>
                </c:pt>
                <c:pt idx="69">
                  <c:v>144</c:v>
                </c:pt>
                <c:pt idx="70">
                  <c:v>145</c:v>
                </c:pt>
                <c:pt idx="71">
                  <c:v>146</c:v>
                </c:pt>
                <c:pt idx="72">
                  <c:v>147</c:v>
                </c:pt>
                <c:pt idx="73">
                  <c:v>148</c:v>
                </c:pt>
                <c:pt idx="74">
                  <c:v>149</c:v>
                </c:pt>
                <c:pt idx="75">
                  <c:v>150</c:v>
                </c:pt>
              </c:numCache>
            </c:numRef>
          </c:xVal>
          <c:yVal>
            <c:numRef>
              <c:f>TanSuat!$R$9:$R$84</c:f>
              <c:numCache>
                <c:formatCode>0.00</c:formatCode>
                <c:ptCount val="76"/>
                <c:pt idx="0">
                  <c:v>0.00425061189136801</c:v>
                </c:pt>
                <c:pt idx="1">
                  <c:v>0.00627468615911286</c:v>
                </c:pt>
                <c:pt idx="2">
                  <c:v>0.00914229922325807</c:v>
                </c:pt>
                <c:pt idx="3">
                  <c:v>0.0131496737161195</c:v>
                </c:pt>
                <c:pt idx="4">
                  <c:v>0.01867420119255</c:v>
                </c:pt>
                <c:pt idx="5">
                  <c:v>0.0261882328974023</c:v>
                </c:pt>
                <c:pt idx="6">
                  <c:v>0.0362723191204884</c:v>
                </c:pt>
                <c:pt idx="7">
                  <c:v>0.0496267253918</c:v>
                </c:pt>
                <c:pt idx="8">
                  <c:v>0.0670797870085065</c:v>
                </c:pt>
                <c:pt idx="9">
                  <c:v>0.0895914441010041</c:v>
                </c:pt>
                <c:pt idx="10">
                  <c:v>0.118250166043431</c:v>
                </c:pt>
                <c:pt idx="11">
                  <c:v>0.154261466609448</c:v>
                </c:pt>
                <c:pt idx="12">
                  <c:v>0.198926367113954</c:v>
                </c:pt>
                <c:pt idx="13">
                  <c:v>0.253608512801301</c:v>
                </c:pt>
                <c:pt idx="14">
                  <c:v>0.319689202822224</c:v>
                </c:pt>
                <c:pt idx="15">
                  <c:v>0.39851035182917</c:v>
                </c:pt>
                <c:pt idx="16">
                  <c:v>0.491306333755106</c:v>
                </c:pt>
                <c:pt idx="17">
                  <c:v>0.599126712869406</c:v>
                </c:pt>
                <c:pt idx="18">
                  <c:v>0.722752966847512</c:v>
                </c:pt>
                <c:pt idx="19">
                  <c:v>0.862613354793855</c:v>
                </c:pt>
                <c:pt idx="20">
                  <c:v>1.01870097130866</c:v>
                </c:pt>
                <c:pt idx="21">
                  <c:v>1.19050064553248</c:v>
                </c:pt>
                <c:pt idx="22">
                  <c:v>1.37693059198237</c:v>
                </c:pt>
                <c:pt idx="23">
                  <c:v>1.57630452157655</c:v>
                </c:pt>
                <c:pt idx="24">
                  <c:v>1.7863192351078</c:v>
                </c:pt>
                <c:pt idx="25">
                  <c:v>2.00407154986745</c:v>
                </c:pt>
                <c:pt idx="26">
                  <c:v>2.2261068037587</c:v>
                </c:pt>
                <c:pt idx="27">
                  <c:v>2.4484992383695</c:v>
                </c:pt>
                <c:pt idx="28">
                  <c:v>2.66696242284149</c:v>
                </c:pt>
                <c:pt idx="29">
                  <c:v>2.87698571364026</c:v>
                </c:pt>
                <c:pt idx="30">
                  <c:v>3.07399073536477</c:v>
                </c:pt>
                <c:pt idx="31">
                  <c:v>3.25350019434503</c:v>
                </c:pt>
                <c:pt idx="32">
                  <c:v>3.4113101570427</c:v>
                </c:pt>
                <c:pt idx="33">
                  <c:v>3.5436563566539</c:v>
                </c:pt>
                <c:pt idx="34">
                  <c:v>3.64736519865138</c:v>
                </c:pt>
                <c:pt idx="35">
                  <c:v>3.71998092396999</c:v>
                </c:pt>
                <c:pt idx="36">
                  <c:v>3.75986180054228</c:v>
                </c:pt>
                <c:pt idx="37">
                  <c:v>3.76624013752534</c:v>
                </c:pt>
                <c:pt idx="38">
                  <c:v>3.73924319494662</c:v>
                </c:pt>
                <c:pt idx="39">
                  <c:v>3.67987450913212</c:v>
                </c:pt>
                <c:pt idx="40">
                  <c:v>3.58995757547419</c:v>
                </c:pt>
                <c:pt idx="41">
                  <c:v>3.47204603786595</c:v>
                </c:pt>
                <c:pt idx="42">
                  <c:v>3.32930636742034</c:v>
                </c:pt>
                <c:pt idx="43">
                  <c:v>3.165380350516</c:v>
                </c:pt>
                <c:pt idx="44">
                  <c:v>2.98423547499488</c:v>
                </c:pt>
                <c:pt idx="45">
                  <c:v>2.79001148283063</c:v>
                </c:pt>
                <c:pt idx="46">
                  <c:v>2.58687097734519</c:v>
                </c:pt>
                <c:pt idx="47">
                  <c:v>2.37886110613407</c:v>
                </c:pt>
                <c:pt idx="48">
                  <c:v>2.16979209347302</c:v>
                </c:pt>
                <c:pt idx="49">
                  <c:v>1.96313689489305</c:v>
                </c:pt>
                <c:pt idx="50">
                  <c:v>1.76195462590441</c:v>
                </c:pt>
                <c:pt idx="51">
                  <c:v>1.56883880539854</c:v>
                </c:pt>
                <c:pt idx="52">
                  <c:v>1.38588996517844</c:v>
                </c:pt>
                <c:pt idx="53">
                  <c:v>1.2147108999482</c:v>
                </c:pt>
                <c:pt idx="54">
                  <c:v>1.05642182841231</c:v>
                </c:pt>
                <c:pt idx="55">
                  <c:v>0.911692037919826</c:v>
                </c:pt>
                <c:pt idx="56">
                  <c:v>0.780784196444468</c:v>
                </c:pt>
                <c:pt idx="57">
                  <c:v>0.663607416659885</c:v>
                </c:pt>
                <c:pt idx="58">
                  <c:v>0.559775308835132</c:v>
                </c:pt>
                <c:pt idx="59">
                  <c:v>0.468665611180697</c:v>
                </c:pt>
                <c:pt idx="60">
                  <c:v>0.389478480876759</c:v>
                </c:pt>
                <c:pt idx="61">
                  <c:v>0.321291108599732</c:v>
                </c:pt>
                <c:pt idx="62">
                  <c:v>0.263106930465722</c:v>
                </c:pt>
                <c:pt idx="63">
                  <c:v>0.213898308180793</c:v>
                </c:pt>
                <c:pt idx="64">
                  <c:v>0.172642094926641</c:v>
                </c:pt>
                <c:pt idx="65">
                  <c:v>0.138347975927285</c:v>
                </c:pt>
                <c:pt idx="66">
                  <c:v>0.110079854037462</c:v>
                </c:pt>
                <c:pt idx="67">
                  <c:v>0.0869708367919916</c:v>
                </c:pt>
                <c:pt idx="68">
                  <c:v>0.0682325746831716</c:v>
                </c:pt>
                <c:pt idx="69">
                  <c:v>0.0531598094007293</c:v>
                </c:pt>
                <c:pt idx="70">
                  <c:v>0.0411310277011574</c:v>
                </c:pt>
                <c:pt idx="71">
                  <c:v>0.0316060958752935</c:v>
                </c:pt>
                <c:pt idx="72">
                  <c:v>0.024121686369042</c:v>
                </c:pt>
                <c:pt idx="73">
                  <c:v>0.018285216173938</c:v>
                </c:pt>
                <c:pt idx="74">
                  <c:v>0.0137679087419738</c:v>
                </c:pt>
                <c:pt idx="75">
                  <c:v>0.0102974778784136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"Gauss"</c:f>
              <c:strCache>
                <c:ptCount val="1"/>
                <c:pt idx="0">
                  <c:v>Gauss</c:v>
                </c:pt>
              </c:strCache>
            </c:strRef>
          </c:tx>
          <c:spPr>
            <a:ln w="19080">
              <a:solidFill>
                <a:srgbClr val="D354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TanSuat!$O$9:$O$84</c:f>
              <c:numCache>
                <c:formatCode>General</c:formatCode>
                <c:ptCount val="76"/>
                <c:pt idx="0">
                  <c:v>75</c:v>
                </c:pt>
                <c:pt idx="1">
                  <c:v>76</c:v>
                </c:pt>
                <c:pt idx="2">
                  <c:v>77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81</c:v>
                </c:pt>
                <c:pt idx="7">
                  <c:v>82</c:v>
                </c:pt>
                <c:pt idx="8">
                  <c:v>83</c:v>
                </c:pt>
                <c:pt idx="9">
                  <c:v>84</c:v>
                </c:pt>
                <c:pt idx="10">
                  <c:v>85</c:v>
                </c:pt>
                <c:pt idx="11">
                  <c:v>86</c:v>
                </c:pt>
                <c:pt idx="12">
                  <c:v>87</c:v>
                </c:pt>
                <c:pt idx="13">
                  <c:v>88</c:v>
                </c:pt>
                <c:pt idx="14">
                  <c:v>89</c:v>
                </c:pt>
                <c:pt idx="15">
                  <c:v>90</c:v>
                </c:pt>
                <c:pt idx="16">
                  <c:v>91</c:v>
                </c:pt>
                <c:pt idx="17">
                  <c:v>92</c:v>
                </c:pt>
                <c:pt idx="18">
                  <c:v>93</c:v>
                </c:pt>
                <c:pt idx="19">
                  <c:v>94</c:v>
                </c:pt>
                <c:pt idx="20">
                  <c:v>95</c:v>
                </c:pt>
                <c:pt idx="21">
                  <c:v>96</c:v>
                </c:pt>
                <c:pt idx="22">
                  <c:v>97</c:v>
                </c:pt>
                <c:pt idx="23">
                  <c:v>98</c:v>
                </c:pt>
                <c:pt idx="24">
                  <c:v>99</c:v>
                </c:pt>
                <c:pt idx="25">
                  <c:v>100</c:v>
                </c:pt>
                <c:pt idx="26">
                  <c:v>101</c:v>
                </c:pt>
                <c:pt idx="27">
                  <c:v>102</c:v>
                </c:pt>
                <c:pt idx="28">
                  <c:v>103</c:v>
                </c:pt>
                <c:pt idx="29">
                  <c:v>104</c:v>
                </c:pt>
                <c:pt idx="30">
                  <c:v>105</c:v>
                </c:pt>
                <c:pt idx="31">
                  <c:v>106</c:v>
                </c:pt>
                <c:pt idx="32">
                  <c:v>107</c:v>
                </c:pt>
                <c:pt idx="33">
                  <c:v>108</c:v>
                </c:pt>
                <c:pt idx="34">
                  <c:v>109</c:v>
                </c:pt>
                <c:pt idx="35">
                  <c:v>110</c:v>
                </c:pt>
                <c:pt idx="36">
                  <c:v>111</c:v>
                </c:pt>
                <c:pt idx="37">
                  <c:v>112</c:v>
                </c:pt>
                <c:pt idx="38">
                  <c:v>113</c:v>
                </c:pt>
                <c:pt idx="39">
                  <c:v>114</c:v>
                </c:pt>
                <c:pt idx="40">
                  <c:v>115</c:v>
                </c:pt>
                <c:pt idx="41">
                  <c:v>116</c:v>
                </c:pt>
                <c:pt idx="42">
                  <c:v>117</c:v>
                </c:pt>
                <c:pt idx="43">
                  <c:v>118</c:v>
                </c:pt>
                <c:pt idx="44">
                  <c:v>119</c:v>
                </c:pt>
                <c:pt idx="45">
                  <c:v>120</c:v>
                </c:pt>
                <c:pt idx="46">
                  <c:v>121</c:v>
                </c:pt>
                <c:pt idx="47">
                  <c:v>122</c:v>
                </c:pt>
                <c:pt idx="48">
                  <c:v>123</c:v>
                </c:pt>
                <c:pt idx="49">
                  <c:v>124</c:v>
                </c:pt>
                <c:pt idx="50">
                  <c:v>125</c:v>
                </c:pt>
                <c:pt idx="51">
                  <c:v>126</c:v>
                </c:pt>
                <c:pt idx="52">
                  <c:v>127</c:v>
                </c:pt>
                <c:pt idx="53">
                  <c:v>128</c:v>
                </c:pt>
                <c:pt idx="54">
                  <c:v>129</c:v>
                </c:pt>
                <c:pt idx="55">
                  <c:v>130</c:v>
                </c:pt>
                <c:pt idx="56">
                  <c:v>131</c:v>
                </c:pt>
                <c:pt idx="57">
                  <c:v>132</c:v>
                </c:pt>
                <c:pt idx="58">
                  <c:v>133</c:v>
                </c:pt>
                <c:pt idx="59">
                  <c:v>134</c:v>
                </c:pt>
                <c:pt idx="60">
                  <c:v>135</c:v>
                </c:pt>
                <c:pt idx="61">
                  <c:v>136</c:v>
                </c:pt>
                <c:pt idx="62">
                  <c:v>137</c:v>
                </c:pt>
                <c:pt idx="63">
                  <c:v>138</c:v>
                </c:pt>
                <c:pt idx="64">
                  <c:v>139</c:v>
                </c:pt>
                <c:pt idx="65">
                  <c:v>140</c:v>
                </c:pt>
                <c:pt idx="66">
                  <c:v>141</c:v>
                </c:pt>
                <c:pt idx="67">
                  <c:v>142</c:v>
                </c:pt>
                <c:pt idx="68">
                  <c:v>143</c:v>
                </c:pt>
                <c:pt idx="69">
                  <c:v>144</c:v>
                </c:pt>
                <c:pt idx="70">
                  <c:v>145</c:v>
                </c:pt>
                <c:pt idx="71">
                  <c:v>146</c:v>
                </c:pt>
                <c:pt idx="72">
                  <c:v>147</c:v>
                </c:pt>
                <c:pt idx="73">
                  <c:v>148</c:v>
                </c:pt>
                <c:pt idx="74">
                  <c:v>149</c:v>
                </c:pt>
                <c:pt idx="75">
                  <c:v>150</c:v>
                </c:pt>
              </c:numCache>
            </c:numRef>
          </c:xVal>
          <c:yVal>
            <c:numRef>
              <c:f>TanSuat!$S$9:$S$84</c:f>
              <c:numCache>
                <c:formatCode>0.00</c:formatCode>
                <c:ptCount val="76"/>
                <c:pt idx="0">
                  <c:v>0.00792332356552613</c:v>
                </c:pt>
                <c:pt idx="1">
                  <c:v>0.0109884558656794</c:v>
                </c:pt>
                <c:pt idx="2">
                  <c:v>0.0151041010494114</c:v>
                </c:pt>
                <c:pt idx="3">
                  <c:v>0.0205769989031834</c:v>
                </c:pt>
                <c:pt idx="4">
                  <c:v>0.0277842145573108</c:v>
                </c:pt>
                <c:pt idx="5">
                  <c:v>0.0371828908171668</c:v>
                </c:pt>
                <c:pt idx="6">
                  <c:v>0.0493193241226327</c:v>
                </c:pt>
                <c:pt idx="7">
                  <c:v>0.0648365681152824</c:v>
                </c:pt>
                <c:pt idx="8">
                  <c:v>0.0844796020387426</c:v>
                </c:pt>
                <c:pt idx="9">
                  <c:v>0.109096957054916</c:v>
                </c:pt>
                <c:pt idx="10">
                  <c:v>0.139637592677061</c:v>
                </c:pt>
                <c:pt idx="11">
                  <c:v>0.177141780850403</c:v>
                </c:pt>
                <c:pt idx="12">
                  <c:v>0.222724810185818</c:v>
                </c:pt>
                <c:pt idx="13">
                  <c:v>0.277552488948499</c:v>
                </c:pt>
                <c:pt idx="14">
                  <c:v>0.342807719201413</c:v>
                </c:pt>
                <c:pt idx="15">
                  <c:v>0.419647844486608</c:v>
                </c:pt>
                <c:pt idx="16">
                  <c:v>0.509153036857731</c:v>
                </c:pt>
                <c:pt idx="17">
                  <c:v>0.612266669368814</c:v>
                </c:pt>
                <c:pt idx="18">
                  <c:v>0.729729385179349</c:v>
                </c:pt>
                <c:pt idx="19">
                  <c:v>0.862009376395798</c:v>
                </c:pt>
                <c:pt idx="20">
                  <c:v>1.00923216254952</c:v>
                </c:pt>
                <c:pt idx="21">
                  <c:v>1.17111383742758</c:v>
                </c:pt>
                <c:pt idx="22">
                  <c:v>1.34690225585639</c:v>
                </c:pt>
                <c:pt idx="23">
                  <c:v>1.53533088304815</c:v>
                </c:pt>
                <c:pt idx="24">
                  <c:v>1.73458996269776</c:v>
                </c:pt>
                <c:pt idx="25">
                  <c:v>1.94231922965438</c:v>
                </c:pt>
                <c:pt idx="26">
                  <c:v>2.15562557919522</c:v>
                </c:pt>
                <c:pt idx="27">
                  <c:v>2.37112792140448</c:v>
                </c:pt>
                <c:pt idx="28">
                  <c:v>2.58502994616385</c:v>
                </c:pt>
                <c:pt idx="29">
                  <c:v>2.79321978832768</c:v>
                </c:pt>
                <c:pt idx="30">
                  <c:v>2.99139373223623</c:v>
                </c:pt>
                <c:pt idx="31">
                  <c:v>3.17519927175765</c:v>
                </c:pt>
                <c:pt idx="32">
                  <c:v>3.34039120003999</c:v>
                </c:pt>
                <c:pt idx="33">
                  <c:v>3.48299309275397</c:v>
                </c:pt>
                <c:pt idx="34">
                  <c:v>3.59945570225948</c:v>
                </c:pt>
                <c:pt idx="35">
                  <c:v>3.68680349746209</c:v>
                </c:pt>
                <c:pt idx="36">
                  <c:v>3.74276091987765</c:v>
                </c:pt>
                <c:pt idx="37">
                  <c:v>3.76585088249699</c:v>
                </c:pt>
                <c:pt idx="38">
                  <c:v>3.75545956083762</c:v>
                </c:pt>
                <c:pt idx="39">
                  <c:v>3.71186350914691</c:v>
                </c:pt>
                <c:pt idx="40">
                  <c:v>3.63621742966998</c:v>
                </c:pt>
                <c:pt idx="41">
                  <c:v>3.53050335002004</c:v>
                </c:pt>
                <c:pt idx="42">
                  <c:v>3.39744433106254</c:v>
                </c:pt>
                <c:pt idx="43">
                  <c:v>3.24038794918099</c:v>
                </c:pt>
                <c:pt idx="44">
                  <c:v>3.06316650977034</c:v>
                </c:pt>
                <c:pt idx="45">
                  <c:v>2.86994212951298</c:v>
                </c:pt>
                <c:pt idx="46">
                  <c:v>2.66504539925204</c:v>
                </c:pt>
                <c:pt idx="47">
                  <c:v>2.45281628789974</c:v>
                </c:pt>
                <c:pt idx="48">
                  <c:v>2.23745530613822</c:v>
                </c:pt>
                <c:pt idx="49">
                  <c:v>2.02289180048373</c:v>
                </c:pt>
                <c:pt idx="50">
                  <c:v>1.81267471518932</c:v>
                </c:pt>
                <c:pt idx="51">
                  <c:v>1.60988938699903</c:v>
                </c:pt>
                <c:pt idx="52">
                  <c:v>1.41710208014012</c:v>
                </c:pt>
                <c:pt idx="53">
                  <c:v>1.2363321740498</c:v>
                </c:pt>
                <c:pt idx="54">
                  <c:v>1.06905031275803</c:v>
                </c:pt>
                <c:pt idx="55">
                  <c:v>0.916199511990132</c:v>
                </c:pt>
                <c:pt idx="56">
                  <c:v>0.778235262203396</c:v>
                </c:pt>
                <c:pt idx="57">
                  <c:v>0.655180090311707</c:v>
                </c:pt>
                <c:pt idx="58">
                  <c:v>0.546687842307944</c:v>
                </c:pt>
                <c:pt idx="59">
                  <c:v>0.452113086258225</c:v>
                </c:pt>
                <c:pt idx="60">
                  <c:v>0.370581450887653</c:v>
                </c:pt>
                <c:pt idx="61">
                  <c:v>0.301057336187456</c:v>
                </c:pt>
                <c:pt idx="62">
                  <c:v>0.24240618102276</c:v>
                </c:pt>
                <c:pt idx="63">
                  <c:v>0.193449273103932</c:v>
                </c:pt>
                <c:pt idx="64">
                  <c:v>0.153009872226016</c:v>
                </c:pt>
                <c:pt idx="65">
                  <c:v>0.119950134829357</c:v>
                </c:pt>
                <c:pt idx="66">
                  <c:v>0.093198938542925</c:v>
                </c:pt>
                <c:pt idx="67">
                  <c:v>0.0717711870880955</c:v>
                </c:pt>
                <c:pt idx="68">
                  <c:v>0.0547795210123018</c:v>
                </c:pt>
                <c:pt idx="69">
                  <c:v>0.0414395727592751</c:v>
                </c:pt>
                <c:pt idx="70">
                  <c:v>0.0310699994505071</c:v>
                </c:pt>
                <c:pt idx="71">
                  <c:v>0.0230885234334142</c:v>
                </c:pt>
                <c:pt idx="72">
                  <c:v>0.01700513215383</c:v>
                </c:pt>
                <c:pt idx="73">
                  <c:v>0.0124134586174131</c:v>
                </c:pt>
                <c:pt idx="74">
                  <c:v>0.00898120331239347</c:v>
                </c:pt>
                <c:pt idx="75">
                  <c:v>0.00644028657397734</c:v>
                </c:pt>
              </c:numCache>
            </c:numRef>
          </c:yVal>
          <c:smooth val="1"/>
        </c:ser>
        <c:axId val="36497188"/>
        <c:axId val="91167878"/>
      </c:scatterChart>
      <c:valAx>
        <c:axId val="36497188"/>
        <c:scaling>
          <c:orientation val="minMax"/>
          <c:max val="150"/>
          <c:min val="7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đếm trong 10 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67878"/>
        <c:crosses val="autoZero"/>
        <c:crossBetween val="midCat"/>
      </c:valAx>
      <c:valAx>
        <c:axId val="9116787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lần xuất hiện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97188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13</xdr:col>
      <xdr:colOff>507600</xdr:colOff>
      <xdr:row>16</xdr:row>
      <xdr:rowOff>43200</xdr:rowOff>
    </xdr:to>
    <xdr:graphicFrame>
      <xdr:nvGraphicFramePr>
        <xdr:cNvPr id="1" name="Chart 1"/>
        <xdr:cNvGraphicFramePr/>
      </xdr:nvGraphicFramePr>
      <xdr:xfrm>
        <a:off x="4370040" y="130104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13</xdr:col>
      <xdr:colOff>507600</xdr:colOff>
      <xdr:row>33</xdr:row>
      <xdr:rowOff>43200</xdr:rowOff>
    </xdr:to>
    <xdr:graphicFrame>
      <xdr:nvGraphicFramePr>
        <xdr:cNvPr id="2" name="Chart 2"/>
        <xdr:cNvGraphicFramePr/>
      </xdr:nvGraphicFramePr>
      <xdr:xfrm>
        <a:off x="4370040" y="45396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13</xdr:col>
      <xdr:colOff>507600</xdr:colOff>
      <xdr:row>48</xdr:row>
      <xdr:rowOff>43200</xdr:rowOff>
    </xdr:to>
    <xdr:graphicFrame>
      <xdr:nvGraphicFramePr>
        <xdr:cNvPr id="3" name="Chart 3"/>
        <xdr:cNvGraphicFramePr/>
      </xdr:nvGraphicFramePr>
      <xdr:xfrm>
        <a:off x="4370040" y="73972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10</xdr:col>
      <xdr:colOff>4680</xdr:colOff>
      <xdr:row>22</xdr:row>
      <xdr:rowOff>1080</xdr:rowOff>
    </xdr:to>
    <xdr:graphicFrame>
      <xdr:nvGraphicFramePr>
        <xdr:cNvPr id="4" name="Chart 1"/>
        <xdr:cNvGraphicFramePr/>
      </xdr:nvGraphicFramePr>
      <xdr:xfrm>
        <a:off x="0" y="10382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4680</xdr:colOff>
      <xdr:row>41</xdr:row>
      <xdr:rowOff>1080</xdr:rowOff>
    </xdr:to>
    <xdr:graphicFrame>
      <xdr:nvGraphicFramePr>
        <xdr:cNvPr id="5" name="Chart 2"/>
        <xdr:cNvGraphicFramePr/>
      </xdr:nvGraphicFramePr>
      <xdr:xfrm>
        <a:off x="0" y="4657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10</xdr:col>
      <xdr:colOff>4680</xdr:colOff>
      <xdr:row>60</xdr:row>
      <xdr:rowOff>1080</xdr:rowOff>
    </xdr:to>
    <xdr:graphicFrame>
      <xdr:nvGraphicFramePr>
        <xdr:cNvPr id="6" name="Chart 3"/>
        <xdr:cNvGraphicFramePr/>
      </xdr:nvGraphicFramePr>
      <xdr:xfrm>
        <a:off x="0" y="8277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2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5" t="s">
        <v>4</v>
      </c>
      <c r="C5" s="6" t="s">
        <v>5</v>
      </c>
      <c r="D5" s="6"/>
      <c r="E5" s="6"/>
      <c r="F5" s="6"/>
    </row>
    <row r="7" customFormat="false" ht="15" hidden="false" customHeight="true" outlineLevel="0" collapsed="false">
      <c r="A7" s="7" t="s">
        <v>6</v>
      </c>
      <c r="B7" s="8" t="s">
        <v>7</v>
      </c>
      <c r="C7" s="8"/>
      <c r="D7" s="8"/>
      <c r="E7" s="8"/>
      <c r="F7" s="8"/>
    </row>
    <row r="8" customFormat="false" ht="15" hidden="false" customHeight="true" outlineLevel="0" collapsed="false">
      <c r="A8" s="9" t="s">
        <v>8</v>
      </c>
      <c r="B8" s="10" t="s">
        <v>9</v>
      </c>
      <c r="C8" s="5" t="s">
        <v>10</v>
      </c>
      <c r="D8" s="5"/>
      <c r="E8" s="5"/>
      <c r="F8" s="5"/>
    </row>
    <row r="9" customFormat="false" ht="15" hidden="false" customHeight="true" outlineLevel="0" collapsed="false">
      <c r="A9" s="9" t="s">
        <v>11</v>
      </c>
      <c r="B9" s="10" t="s">
        <v>12</v>
      </c>
      <c r="C9" s="10" t="s">
        <v>13</v>
      </c>
      <c r="D9" s="10"/>
      <c r="E9" s="10"/>
      <c r="F9" s="10"/>
    </row>
    <row r="10" customFormat="false" ht="15" hidden="false" customHeight="true" outlineLevel="0" collapsed="false">
      <c r="A10" s="9" t="s">
        <v>14</v>
      </c>
      <c r="B10" s="10" t="s">
        <v>15</v>
      </c>
      <c r="C10" s="10" t="s">
        <v>16</v>
      </c>
      <c r="D10" s="10"/>
      <c r="E10" s="10"/>
      <c r="F10" s="10"/>
    </row>
    <row r="11" customFormat="false" ht="15" hidden="false" customHeight="false" outlineLevel="0" collapsed="false">
      <c r="A11" s="9" t="s">
        <v>17</v>
      </c>
      <c r="B11" s="10" t="s">
        <v>18</v>
      </c>
      <c r="C11" s="5"/>
      <c r="D11" s="5"/>
      <c r="E11" s="5"/>
      <c r="F11" s="5"/>
    </row>
    <row r="12" customFormat="false" ht="15" hidden="false" customHeight="false" outlineLevel="0" collapsed="false">
      <c r="A12" s="9" t="s">
        <v>19</v>
      </c>
      <c r="B12" s="10" t="s">
        <v>20</v>
      </c>
      <c r="C12" s="5"/>
      <c r="D12" s="5"/>
      <c r="E12" s="5"/>
      <c r="F12" s="5"/>
    </row>
    <row r="13" customFormat="false" ht="15" hidden="false" customHeight="false" outlineLevel="0" collapsed="false">
      <c r="A13" s="9" t="s">
        <v>21</v>
      </c>
      <c r="B13" s="10" t="s">
        <v>22</v>
      </c>
      <c r="C13" s="5"/>
      <c r="D13" s="5"/>
      <c r="E13" s="5"/>
      <c r="F13" s="5"/>
    </row>
    <row r="14" customFormat="false" ht="15" hidden="false" customHeight="true" outlineLevel="0" collapsed="false">
      <c r="A14" s="9" t="s">
        <v>23</v>
      </c>
      <c r="B14" s="10" t="s">
        <v>24</v>
      </c>
      <c r="C14" s="10" t="s">
        <v>25</v>
      </c>
      <c r="D14" s="10"/>
      <c r="E14" s="10"/>
      <c r="F14" s="10"/>
    </row>
    <row r="15" customFormat="false" ht="15" hidden="false" customHeight="true" outlineLevel="0" collapsed="false">
      <c r="A15" s="7" t="s">
        <v>26</v>
      </c>
      <c r="B15" s="8" t="s">
        <v>27</v>
      </c>
      <c r="C15" s="8"/>
      <c r="D15" s="8"/>
      <c r="E15" s="8"/>
      <c r="F15" s="8"/>
    </row>
    <row r="16" customFormat="false" ht="15" hidden="false" customHeight="true" outlineLevel="0" collapsed="false">
      <c r="A16" s="9" t="s">
        <v>8</v>
      </c>
      <c r="B16" s="10" t="s">
        <v>28</v>
      </c>
      <c r="C16" s="5" t="s">
        <v>29</v>
      </c>
      <c r="D16" s="5"/>
      <c r="E16" s="5"/>
      <c r="F16" s="5"/>
    </row>
    <row r="17" customFormat="false" ht="15" hidden="false" customHeight="true" outlineLevel="0" collapsed="false">
      <c r="A17" s="9" t="s">
        <v>11</v>
      </c>
      <c r="B17" s="10" t="s">
        <v>30</v>
      </c>
      <c r="C17" s="5" t="s">
        <v>31</v>
      </c>
      <c r="D17" s="5"/>
      <c r="E17" s="5"/>
      <c r="F17" s="5"/>
    </row>
    <row r="18" customFormat="false" ht="15" hidden="false" customHeight="true" outlineLevel="0" collapsed="false">
      <c r="A18" s="9" t="s">
        <v>14</v>
      </c>
      <c r="B18" s="10" t="s">
        <v>32</v>
      </c>
      <c r="C18" s="5" t="s">
        <v>31</v>
      </c>
      <c r="D18" s="5"/>
      <c r="E18" s="5"/>
      <c r="F18" s="5"/>
    </row>
    <row r="19" customFormat="false" ht="15" hidden="false" customHeight="false" outlineLevel="0" collapsed="false">
      <c r="A19" s="9" t="s">
        <v>17</v>
      </c>
      <c r="B19" s="10" t="s">
        <v>33</v>
      </c>
      <c r="C19" s="5"/>
      <c r="D19" s="5"/>
      <c r="E19" s="5"/>
      <c r="F19" s="5"/>
    </row>
    <row r="20" customFormat="false" ht="1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</row>
    <row r="21" customFormat="false" ht="15" hidden="false" customHeight="true" outlineLevel="0" collapsed="false">
      <c r="A21" s="9" t="s">
        <v>8</v>
      </c>
      <c r="B21" s="10" t="s">
        <v>36</v>
      </c>
      <c r="C21" s="10" t="s">
        <v>37</v>
      </c>
      <c r="D21" s="10"/>
      <c r="E21" s="10"/>
      <c r="F21" s="10"/>
    </row>
    <row r="22" customFormat="false" ht="15" hidden="false" customHeight="false" outlineLevel="0" collapsed="false">
      <c r="A22" s="9" t="s">
        <v>11</v>
      </c>
      <c r="B22" s="10" t="s">
        <v>38</v>
      </c>
      <c r="C22" s="5"/>
      <c r="D22" s="5"/>
      <c r="E22" s="5"/>
      <c r="F22" s="5"/>
    </row>
    <row r="23" customFormat="false" ht="15" hidden="false" customHeight="true" outlineLevel="0" collapsed="false">
      <c r="A23" s="9" t="s">
        <v>14</v>
      </c>
      <c r="B23" s="10" t="s">
        <v>39</v>
      </c>
      <c r="C23" s="5" t="s">
        <v>40</v>
      </c>
      <c r="D23" s="5"/>
      <c r="E23" s="5"/>
      <c r="F23" s="5"/>
    </row>
    <row r="24" customFormat="false" ht="15" hidden="false" customHeight="true" outlineLevel="0" collapsed="false">
      <c r="A24" s="7" t="s">
        <v>41</v>
      </c>
      <c r="B24" s="8" t="s">
        <v>42</v>
      </c>
      <c r="C24" s="8"/>
      <c r="D24" s="8"/>
      <c r="E24" s="8"/>
      <c r="F24" s="8"/>
    </row>
    <row r="25" customFormat="false" ht="15" hidden="false" customHeight="false" outlineLevel="0" collapsed="false">
      <c r="A25" s="9" t="s">
        <v>8</v>
      </c>
      <c r="B25" s="10" t="s">
        <v>43</v>
      </c>
      <c r="C25" s="11" t="n">
        <v>10</v>
      </c>
      <c r="D25" s="11"/>
      <c r="E25" s="11"/>
      <c r="F25" s="11"/>
    </row>
    <row r="26" customFormat="false" ht="15" hidden="false" customHeight="false" outlineLevel="0" collapsed="false">
      <c r="A26" s="9" t="s">
        <v>11</v>
      </c>
      <c r="B26" s="10" t="s">
        <v>44</v>
      </c>
      <c r="C26" s="11" t="n">
        <v>100</v>
      </c>
      <c r="D26" s="11"/>
      <c r="E26" s="11"/>
      <c r="F26" s="11"/>
    </row>
    <row r="27" customFormat="false" ht="15" hidden="false" customHeight="false" outlineLevel="0" collapsed="false">
      <c r="A27" s="9" t="s">
        <v>14</v>
      </c>
      <c r="B27" s="10" t="s">
        <v>45</v>
      </c>
      <c r="C27" s="11" t="n">
        <v>100</v>
      </c>
      <c r="D27" s="11"/>
      <c r="E27" s="11"/>
      <c r="F27" s="11"/>
    </row>
    <row r="28" customFormat="false" ht="26.85" hidden="false" customHeight="false" outlineLevel="0" collapsed="false">
      <c r="A28" s="9" t="s">
        <v>17</v>
      </c>
      <c r="B28" s="10" t="s">
        <v>46</v>
      </c>
      <c r="C28" s="5"/>
      <c r="D28" s="5"/>
      <c r="E28" s="5"/>
      <c r="F28" s="5"/>
    </row>
    <row r="29" customFormat="false" ht="26.85" hidden="false" customHeight="false" outlineLevel="0" collapsed="false">
      <c r="A29" s="9" t="s">
        <v>19</v>
      </c>
      <c r="B29" s="10" t="s">
        <v>47</v>
      </c>
      <c r="C29" s="5"/>
      <c r="D29" s="5"/>
      <c r="E29" s="5"/>
      <c r="F29" s="5"/>
    </row>
    <row r="30" customFormat="false" ht="26.85" hidden="false" customHeight="false" outlineLevel="0" collapsed="false">
      <c r="A30" s="9" t="s">
        <v>21</v>
      </c>
      <c r="B30" s="10" t="s">
        <v>48</v>
      </c>
      <c r="C30" s="5"/>
      <c r="D30" s="5"/>
      <c r="E30" s="5"/>
      <c r="F30" s="5"/>
    </row>
    <row r="31" customFormat="false" ht="15" hidden="false" customHeight="false" outlineLevel="0" collapsed="false">
      <c r="A31" s="9" t="s">
        <v>23</v>
      </c>
      <c r="B31" s="10" t="s">
        <v>49</v>
      </c>
      <c r="C31" s="5"/>
      <c r="D31" s="5"/>
      <c r="E31" s="5"/>
      <c r="F31" s="5"/>
    </row>
    <row r="32" customFormat="false" ht="15" hidden="false" customHeight="true" outlineLevel="0" collapsed="false">
      <c r="A32" s="7" t="s">
        <v>50</v>
      </c>
      <c r="B32" s="8" t="s">
        <v>51</v>
      </c>
      <c r="C32" s="8"/>
      <c r="D32" s="8"/>
      <c r="E32" s="8"/>
      <c r="F32" s="8"/>
    </row>
    <row r="33" customFormat="false" ht="15" hidden="false" customHeight="true" outlineLevel="0" collapsed="false">
      <c r="A33" s="9" t="s">
        <v>8</v>
      </c>
      <c r="B33" s="10" t="s">
        <v>52</v>
      </c>
      <c r="C33" s="10" t="s">
        <v>53</v>
      </c>
      <c r="D33" s="10"/>
      <c r="E33" s="10"/>
      <c r="F33" s="10"/>
    </row>
    <row r="34" customFormat="false" ht="15" hidden="false" customHeight="true" outlineLevel="0" collapsed="false">
      <c r="A34" s="9" t="s">
        <v>11</v>
      </c>
      <c r="B34" s="10" t="s">
        <v>54</v>
      </c>
      <c r="C34" s="10" t="s">
        <v>55</v>
      </c>
      <c r="D34" s="10"/>
      <c r="E34" s="10"/>
      <c r="F34" s="10"/>
    </row>
    <row r="35" customFormat="false" ht="15" hidden="false" customHeight="true" outlineLevel="0" collapsed="false">
      <c r="A35" s="9" t="s">
        <v>14</v>
      </c>
      <c r="B35" s="10" t="s">
        <v>56</v>
      </c>
      <c r="C35" s="10" t="s">
        <v>57</v>
      </c>
      <c r="D35" s="10"/>
      <c r="E35" s="10"/>
      <c r="F35" s="10"/>
    </row>
    <row r="37" customFormat="false" ht="15" hidden="false" customHeight="true" outlineLevel="0" collapsed="false">
      <c r="A37" s="12" t="s">
        <v>58</v>
      </c>
      <c r="B37" s="12"/>
      <c r="C37" s="12"/>
      <c r="D37" s="12"/>
      <c r="E37" s="12"/>
      <c r="F37" s="12"/>
    </row>
    <row r="38" customFormat="false" ht="15" hidden="false" customHeight="false" outlineLevel="0" collapsed="false">
      <c r="A38" s="13" t="s">
        <v>59</v>
      </c>
      <c r="B38" s="13" t="s">
        <v>60</v>
      </c>
      <c r="C38" s="13" t="s">
        <v>61</v>
      </c>
      <c r="D38" s="13" t="s">
        <v>62</v>
      </c>
      <c r="E38" s="13" t="s">
        <v>63</v>
      </c>
      <c r="F38" s="13" t="s">
        <v>64</v>
      </c>
    </row>
    <row r="39" customFormat="false" ht="15" hidden="false" customHeight="false" outlineLevel="0" collapsed="false">
      <c r="A39" s="9" t="n">
        <v>1</v>
      </c>
      <c r="B39" s="10" t="s">
        <v>65</v>
      </c>
      <c r="C39" s="9" t="s">
        <v>66</v>
      </c>
      <c r="D39" s="14" t="s">
        <v>67</v>
      </c>
      <c r="E39" s="9"/>
      <c r="F39" s="9"/>
    </row>
    <row r="40" customFormat="false" ht="15" hidden="false" customHeight="false" outlineLevel="0" collapsed="false">
      <c r="A40" s="9" t="n">
        <v>2</v>
      </c>
      <c r="B40" s="10" t="s">
        <v>68</v>
      </c>
      <c r="C40" s="9" t="s">
        <v>69</v>
      </c>
      <c r="D40" s="14" t="s">
        <v>67</v>
      </c>
      <c r="E40" s="9"/>
      <c r="F40" s="9"/>
    </row>
    <row r="41" customFormat="false" ht="15" hidden="false" customHeight="false" outlineLevel="0" collapsed="false">
      <c r="A41" s="9" t="n">
        <v>3</v>
      </c>
      <c r="B41" s="10" t="s">
        <v>70</v>
      </c>
      <c r="C41" s="9" t="s">
        <v>71</v>
      </c>
      <c r="D41" s="14" t="s">
        <v>67</v>
      </c>
      <c r="E41" s="9"/>
      <c r="F41" s="9"/>
    </row>
    <row r="42" customFormat="false" ht="15" hidden="false" customHeight="false" outlineLevel="0" collapsed="false">
      <c r="A42" s="9" t="n">
        <v>4</v>
      </c>
      <c r="B42" s="10" t="s">
        <v>72</v>
      </c>
      <c r="C42" s="9" t="s">
        <v>73</v>
      </c>
      <c r="D42" s="14" t="s">
        <v>67</v>
      </c>
      <c r="E42" s="9"/>
      <c r="F42" s="9"/>
    </row>
    <row r="43" customFormat="false" ht="15" hidden="false" customHeight="false" outlineLevel="0" collapsed="false">
      <c r="A43" s="9" t="n">
        <v>5</v>
      </c>
      <c r="B43" s="10" t="s">
        <v>74</v>
      </c>
      <c r="C43" s="9" t="s">
        <v>75</v>
      </c>
      <c r="D43" s="14" t="s">
        <v>67</v>
      </c>
      <c r="E43" s="9"/>
      <c r="F43" s="9"/>
    </row>
    <row r="44" customFormat="false" ht="15" hidden="false" customHeight="false" outlineLevel="0" collapsed="false">
      <c r="A44" s="9" t="n">
        <v>6</v>
      </c>
      <c r="B44" s="10" t="s">
        <v>76</v>
      </c>
      <c r="C44" s="9" t="s">
        <v>77</v>
      </c>
      <c r="D44" s="14" t="s">
        <v>67</v>
      </c>
      <c r="E44" s="9"/>
      <c r="F44" s="9"/>
    </row>
    <row r="45" customFormat="false" ht="15" hidden="false" customHeight="false" outlineLevel="0" collapsed="false">
      <c r="A45" s="9" t="n">
        <v>7</v>
      </c>
      <c r="B45" s="10" t="s">
        <v>78</v>
      </c>
      <c r="C45" s="9" t="s">
        <v>79</v>
      </c>
      <c r="D45" s="14" t="s">
        <v>67</v>
      </c>
      <c r="E45" s="9"/>
      <c r="F45" s="9"/>
    </row>
    <row r="46" customFormat="false" ht="15" hidden="false" customHeight="false" outlineLevel="0" collapsed="false">
      <c r="A46" s="9" t="n">
        <v>8</v>
      </c>
      <c r="B46" s="10" t="s">
        <v>80</v>
      </c>
      <c r="C46" s="9" t="s">
        <v>81</v>
      </c>
      <c r="D46" s="14" t="s">
        <v>67</v>
      </c>
      <c r="E46" s="9"/>
      <c r="F46" s="9"/>
    </row>
    <row r="47" customFormat="false" ht="15" hidden="false" customHeight="false" outlineLevel="0" collapsed="false">
      <c r="A47" s="9" t="n">
        <v>9</v>
      </c>
      <c r="B47" s="10" t="s">
        <v>82</v>
      </c>
      <c r="C47" s="9" t="s">
        <v>83</v>
      </c>
      <c r="D47" s="14" t="s">
        <v>67</v>
      </c>
      <c r="E47" s="9"/>
      <c r="F47" s="9"/>
    </row>
    <row r="49" customFormat="false" ht="15" hidden="false" customHeight="true" outlineLevel="0" collapsed="false">
      <c r="A49" s="15" t="s">
        <v>84</v>
      </c>
      <c r="B49" s="15"/>
      <c r="C49" s="15" t="s">
        <v>85</v>
      </c>
      <c r="D49" s="15"/>
      <c r="E49" s="15" t="s">
        <v>86</v>
      </c>
      <c r="F49" s="15"/>
    </row>
    <row r="50" customFormat="false" ht="15" hidden="false" customHeight="true" outlineLevel="0" collapsed="false">
      <c r="A50" s="3" t="s">
        <v>87</v>
      </c>
      <c r="B50" s="3"/>
      <c r="C50" s="3" t="s">
        <v>87</v>
      </c>
      <c r="D50" s="3"/>
      <c r="E50" s="3" t="s">
        <v>87</v>
      </c>
      <c r="F50" s="3"/>
    </row>
  </sheetData>
  <mergeCells count="40">
    <mergeCell ref="A1:F1"/>
    <mergeCell ref="A2:F2"/>
    <mergeCell ref="A3:F3"/>
    <mergeCell ref="C5:F5"/>
    <mergeCell ref="B7:F7"/>
    <mergeCell ref="C8:F8"/>
    <mergeCell ref="C9:F9"/>
    <mergeCell ref="C10:F10"/>
    <mergeCell ref="C11:F11"/>
    <mergeCell ref="C12:F12"/>
    <mergeCell ref="C13:F13"/>
    <mergeCell ref="C14:F14"/>
    <mergeCell ref="B15:F15"/>
    <mergeCell ref="C16:F16"/>
    <mergeCell ref="C17:F17"/>
    <mergeCell ref="C18:F18"/>
    <mergeCell ref="C19:F19"/>
    <mergeCell ref="B20:F20"/>
    <mergeCell ref="C21:F21"/>
    <mergeCell ref="C22:F22"/>
    <mergeCell ref="C23:F23"/>
    <mergeCell ref="B24:F24"/>
    <mergeCell ref="C25:F25"/>
    <mergeCell ref="C26:F26"/>
    <mergeCell ref="C27:F27"/>
    <mergeCell ref="C28:F28"/>
    <mergeCell ref="C29:F29"/>
    <mergeCell ref="C30:F30"/>
    <mergeCell ref="C31:F31"/>
    <mergeCell ref="B32:F32"/>
    <mergeCell ref="C33:F33"/>
    <mergeCell ref="C34:F34"/>
    <mergeCell ref="C35:F35"/>
    <mergeCell ref="A37:F37"/>
    <mergeCell ref="A49:B49"/>
    <mergeCell ref="C49:D49"/>
    <mergeCell ref="E49:F49"/>
    <mergeCell ref="A50:B50"/>
    <mergeCell ref="C50:D50"/>
    <mergeCell ref="E50:F50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11" min="3" style="0" width="1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6" customFormat="false" ht="15" hidden="false" customHeight="true" outlineLevel="0" collapsed="false">
      <c r="A6" s="16" t="s">
        <v>89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customFormat="false" ht="31.5" hidden="false" customHeight="true" outlineLevel="0" collapsed="false">
      <c r="A7" s="17" t="s">
        <v>90</v>
      </c>
      <c r="B7" s="17" t="s">
        <v>91</v>
      </c>
      <c r="C7" s="18" t="s">
        <v>92</v>
      </c>
      <c r="D7" s="18"/>
      <c r="E7" s="18"/>
      <c r="F7" s="18" t="s">
        <v>93</v>
      </c>
      <c r="G7" s="18"/>
      <c r="H7" s="18"/>
      <c r="I7" s="18" t="s">
        <v>94</v>
      </c>
      <c r="J7" s="18"/>
      <c r="K7" s="18"/>
    </row>
    <row r="8" customFormat="false" ht="15" hidden="false" customHeight="false" outlineLevel="0" collapsed="false">
      <c r="A8" s="17"/>
      <c r="B8" s="17"/>
      <c r="C8" s="13" t="s">
        <v>95</v>
      </c>
      <c r="D8" s="13" t="s">
        <v>96</v>
      </c>
      <c r="E8" s="13" t="s">
        <v>97</v>
      </c>
      <c r="F8" s="13" t="s">
        <v>95</v>
      </c>
      <c r="G8" s="13" t="s">
        <v>96</v>
      </c>
      <c r="H8" s="13" t="s">
        <v>97</v>
      </c>
      <c r="I8" s="13" t="s">
        <v>95</v>
      </c>
      <c r="J8" s="13" t="s">
        <v>96</v>
      </c>
      <c r="K8" s="13" t="s">
        <v>97</v>
      </c>
    </row>
    <row r="9" customFormat="false" ht="15" hidden="false" customHeight="false" outlineLevel="0" collapsed="false">
      <c r="A9" s="9" t="n">
        <v>1</v>
      </c>
      <c r="B9" s="19" t="n">
        <f aca="false">ThongTin!$C$25</f>
        <v>10</v>
      </c>
      <c r="C9" s="20" t="n">
        <v>10</v>
      </c>
      <c r="D9" s="21" t="n">
        <f aca="false">SQRT(C9)</f>
        <v>3.16227766016838</v>
      </c>
      <c r="E9" s="22" t="n">
        <f aca="false">C9/$B9</f>
        <v>1</v>
      </c>
      <c r="F9" s="20" t="n">
        <v>40</v>
      </c>
      <c r="G9" s="21" t="n">
        <f aca="false">SQRT(F9)</f>
        <v>6.32455532033676</v>
      </c>
      <c r="H9" s="22" t="n">
        <f aca="false">F9/$B9</f>
        <v>4</v>
      </c>
      <c r="I9" s="20" t="n">
        <v>126</v>
      </c>
      <c r="J9" s="21" t="n">
        <f aca="false">SQRT(I9)</f>
        <v>11.2249721603218</v>
      </c>
      <c r="K9" s="22" t="n">
        <f aca="false">I9/$B9</f>
        <v>12.6</v>
      </c>
    </row>
    <row r="10" customFormat="false" ht="15" hidden="false" customHeight="false" outlineLevel="0" collapsed="false">
      <c r="A10" s="9" t="n">
        <v>2</v>
      </c>
      <c r="B10" s="19" t="n">
        <f aca="false">ThongTin!$C$25</f>
        <v>10</v>
      </c>
      <c r="C10" s="20" t="n">
        <v>9</v>
      </c>
      <c r="D10" s="21" t="n">
        <f aca="false">SQRT(C10)</f>
        <v>3</v>
      </c>
      <c r="E10" s="22" t="n">
        <f aca="false">C10/$B10</f>
        <v>0.9</v>
      </c>
      <c r="F10" s="20" t="n">
        <v>26</v>
      </c>
      <c r="G10" s="21" t="n">
        <f aca="false">SQRT(F10)</f>
        <v>5.09901951359278</v>
      </c>
      <c r="H10" s="22" t="n">
        <f aca="false">F10/$B10</f>
        <v>2.6</v>
      </c>
      <c r="I10" s="20" t="n">
        <v>115</v>
      </c>
      <c r="J10" s="21" t="n">
        <f aca="false">SQRT(I10)</f>
        <v>10.7238052947636</v>
      </c>
      <c r="K10" s="22" t="n">
        <f aca="false">I10/$B10</f>
        <v>11.5</v>
      </c>
    </row>
    <row r="11" customFormat="false" ht="15" hidden="false" customHeight="false" outlineLevel="0" collapsed="false">
      <c r="A11" s="9" t="n">
        <v>3</v>
      </c>
      <c r="B11" s="19" t="n">
        <f aca="false">ThongTin!$C$25</f>
        <v>10</v>
      </c>
      <c r="C11" s="20" t="n">
        <v>7</v>
      </c>
      <c r="D11" s="21" t="n">
        <f aca="false">SQRT(C11)</f>
        <v>2.64575131106459</v>
      </c>
      <c r="E11" s="22" t="n">
        <f aca="false">C11/$B11</f>
        <v>0.7</v>
      </c>
      <c r="F11" s="20" t="n">
        <v>33</v>
      </c>
      <c r="G11" s="21" t="n">
        <f aca="false">SQRT(F11)</f>
        <v>5.74456264653803</v>
      </c>
      <c r="H11" s="22" t="n">
        <f aca="false">F11/$B11</f>
        <v>3.3</v>
      </c>
      <c r="I11" s="20" t="n">
        <v>109</v>
      </c>
      <c r="J11" s="21" t="n">
        <f aca="false">SQRT(I11)</f>
        <v>10.4403065089106</v>
      </c>
      <c r="K11" s="22" t="n">
        <f aca="false">I11/$B11</f>
        <v>10.9</v>
      </c>
    </row>
    <row r="12" customFormat="false" ht="15" hidden="false" customHeight="false" outlineLevel="0" collapsed="false">
      <c r="A12" s="9" t="n">
        <v>4</v>
      </c>
      <c r="B12" s="19" t="n">
        <f aca="false">ThongTin!$C$25</f>
        <v>10</v>
      </c>
      <c r="C12" s="20" t="n">
        <v>9</v>
      </c>
      <c r="D12" s="21" t="n">
        <f aca="false">SQRT(C12)</f>
        <v>3</v>
      </c>
      <c r="E12" s="22" t="n">
        <f aca="false">C12/$B12</f>
        <v>0.9</v>
      </c>
      <c r="F12" s="20" t="n">
        <v>34</v>
      </c>
      <c r="G12" s="21" t="n">
        <f aca="false">SQRT(F12)</f>
        <v>5.8309518948453</v>
      </c>
      <c r="H12" s="22" t="n">
        <f aca="false">F12/$B12</f>
        <v>3.4</v>
      </c>
      <c r="I12" s="20" t="n">
        <v>128</v>
      </c>
      <c r="J12" s="21" t="n">
        <f aca="false">SQRT(I12)</f>
        <v>11.3137084989848</v>
      </c>
      <c r="K12" s="22" t="n">
        <f aca="false">I12/$B12</f>
        <v>12.8</v>
      </c>
    </row>
    <row r="13" customFormat="false" ht="15" hidden="false" customHeight="false" outlineLevel="0" collapsed="false">
      <c r="A13" s="9" t="n">
        <v>5</v>
      </c>
      <c r="B13" s="19" t="n">
        <f aca="false">ThongTin!$C$25</f>
        <v>10</v>
      </c>
      <c r="C13" s="20" t="n">
        <v>5</v>
      </c>
      <c r="D13" s="21" t="n">
        <f aca="false">SQRT(C13)</f>
        <v>2.23606797749979</v>
      </c>
      <c r="E13" s="22" t="n">
        <f aca="false">C13/$B13</f>
        <v>0.5</v>
      </c>
      <c r="F13" s="20" t="n">
        <v>37</v>
      </c>
      <c r="G13" s="21" t="n">
        <f aca="false">SQRT(F13)</f>
        <v>6.08276253029822</v>
      </c>
      <c r="H13" s="22" t="n">
        <f aca="false">F13/$B13</f>
        <v>3.7</v>
      </c>
      <c r="I13" s="20" t="n">
        <v>134</v>
      </c>
      <c r="J13" s="21" t="n">
        <f aca="false">SQRT(I13)</f>
        <v>11.5758369027902</v>
      </c>
      <c r="K13" s="22" t="n">
        <f aca="false">I13/$B13</f>
        <v>13.4</v>
      </c>
    </row>
    <row r="14" customFormat="false" ht="15" hidden="false" customHeight="false" outlineLevel="0" collapsed="false">
      <c r="A14" s="9" t="n">
        <v>6</v>
      </c>
      <c r="B14" s="19" t="n">
        <f aca="false">ThongTin!$C$25</f>
        <v>10</v>
      </c>
      <c r="C14" s="20" t="n">
        <v>7</v>
      </c>
      <c r="D14" s="21" t="n">
        <f aca="false">SQRT(C14)</f>
        <v>2.64575131106459</v>
      </c>
      <c r="E14" s="22" t="n">
        <f aca="false">C14/$B14</f>
        <v>0.7</v>
      </c>
      <c r="F14" s="20" t="n">
        <v>46</v>
      </c>
      <c r="G14" s="21" t="n">
        <f aca="false">SQRT(F14)</f>
        <v>6.78232998312527</v>
      </c>
      <c r="H14" s="22" t="n">
        <f aca="false">F14/$B14</f>
        <v>4.6</v>
      </c>
      <c r="I14" s="20" t="n">
        <v>112</v>
      </c>
      <c r="J14" s="21" t="n">
        <f aca="false">SQRT(I14)</f>
        <v>10.5830052442584</v>
      </c>
      <c r="K14" s="22" t="n">
        <f aca="false">I14/$B14</f>
        <v>11.2</v>
      </c>
    </row>
    <row r="15" customFormat="false" ht="15" hidden="false" customHeight="false" outlineLevel="0" collapsed="false">
      <c r="A15" s="9" t="n">
        <v>7</v>
      </c>
      <c r="B15" s="19" t="n">
        <f aca="false">ThongTin!$C$25</f>
        <v>10</v>
      </c>
      <c r="C15" s="20" t="n">
        <v>6</v>
      </c>
      <c r="D15" s="21" t="n">
        <f aca="false">SQRT(C15)</f>
        <v>2.44948974278318</v>
      </c>
      <c r="E15" s="22" t="n">
        <f aca="false">C15/$B15</f>
        <v>0.6</v>
      </c>
      <c r="F15" s="20" t="n">
        <v>29</v>
      </c>
      <c r="G15" s="21" t="n">
        <f aca="false">SQRT(F15)</f>
        <v>5.3851648071345</v>
      </c>
      <c r="H15" s="22" t="n">
        <f aca="false">F15/$B15</f>
        <v>2.9</v>
      </c>
      <c r="I15" s="20" t="n">
        <v>103</v>
      </c>
      <c r="J15" s="21" t="n">
        <f aca="false">SQRT(I15)</f>
        <v>10.1488915650922</v>
      </c>
      <c r="K15" s="22" t="n">
        <f aca="false">I15/$B15</f>
        <v>10.3</v>
      </c>
    </row>
    <row r="16" customFormat="false" ht="15" hidden="false" customHeight="false" outlineLevel="0" collapsed="false">
      <c r="A16" s="9" t="n">
        <v>8</v>
      </c>
      <c r="B16" s="19" t="n">
        <f aca="false">ThongTin!$C$25</f>
        <v>10</v>
      </c>
      <c r="C16" s="20" t="n">
        <v>8</v>
      </c>
      <c r="D16" s="21" t="n">
        <f aca="false">SQRT(C16)</f>
        <v>2.82842712474619</v>
      </c>
      <c r="E16" s="22" t="n">
        <f aca="false">C16/$B16</f>
        <v>0.8</v>
      </c>
      <c r="F16" s="20" t="n">
        <v>37</v>
      </c>
      <c r="G16" s="21" t="n">
        <f aca="false">SQRT(F16)</f>
        <v>6.08276253029822</v>
      </c>
      <c r="H16" s="22" t="n">
        <f aca="false">F16/$B16</f>
        <v>3.7</v>
      </c>
      <c r="I16" s="20" t="n">
        <v>105</v>
      </c>
      <c r="J16" s="21" t="n">
        <f aca="false">SQRT(I16)</f>
        <v>10.2469507659596</v>
      </c>
      <c r="K16" s="22" t="n">
        <f aca="false">I16/$B16</f>
        <v>10.5</v>
      </c>
    </row>
    <row r="17" customFormat="false" ht="15" hidden="false" customHeight="false" outlineLevel="0" collapsed="false">
      <c r="A17" s="9" t="n">
        <v>9</v>
      </c>
      <c r="B17" s="19" t="n">
        <f aca="false">ThongTin!$C$25</f>
        <v>10</v>
      </c>
      <c r="C17" s="20" t="n">
        <v>5</v>
      </c>
      <c r="D17" s="21" t="n">
        <f aca="false">SQRT(C17)</f>
        <v>2.23606797749979</v>
      </c>
      <c r="E17" s="22" t="n">
        <f aca="false">C17/$B17</f>
        <v>0.5</v>
      </c>
      <c r="F17" s="20" t="n">
        <v>33</v>
      </c>
      <c r="G17" s="21" t="n">
        <f aca="false">SQRT(F17)</f>
        <v>5.74456264653803</v>
      </c>
      <c r="H17" s="22" t="n">
        <f aca="false">F17/$B17</f>
        <v>3.3</v>
      </c>
      <c r="I17" s="20" t="n">
        <v>104</v>
      </c>
      <c r="J17" s="21" t="n">
        <f aca="false">SQRT(I17)</f>
        <v>10.1980390271856</v>
      </c>
      <c r="K17" s="22" t="n">
        <f aca="false">I17/$B17</f>
        <v>10.4</v>
      </c>
    </row>
    <row r="18" customFormat="false" ht="15" hidden="false" customHeight="false" outlineLevel="0" collapsed="false">
      <c r="A18" s="9" t="n">
        <v>10</v>
      </c>
      <c r="B18" s="19" t="n">
        <f aca="false">ThongTin!$C$25</f>
        <v>10</v>
      </c>
      <c r="C18" s="20" t="n">
        <v>4</v>
      </c>
      <c r="D18" s="21" t="n">
        <f aca="false">SQRT(C18)</f>
        <v>2</v>
      </c>
      <c r="E18" s="22" t="n">
        <f aca="false">C18/$B18</f>
        <v>0.4</v>
      </c>
      <c r="F18" s="20" t="n">
        <v>33</v>
      </c>
      <c r="G18" s="21" t="n">
        <f aca="false">SQRT(F18)</f>
        <v>5.74456264653803</v>
      </c>
      <c r="H18" s="22" t="n">
        <f aca="false">F18/$B18</f>
        <v>3.3</v>
      </c>
      <c r="I18" s="20" t="n">
        <v>115</v>
      </c>
      <c r="J18" s="21" t="n">
        <f aca="false">SQRT(I18)</f>
        <v>10.7238052947636</v>
      </c>
      <c r="K18" s="22" t="n">
        <f aca="false">I18/$B18</f>
        <v>11.5</v>
      </c>
    </row>
    <row r="19" customFormat="false" ht="15" hidden="false" customHeight="false" outlineLevel="0" collapsed="false">
      <c r="A19" s="9" t="n">
        <v>11</v>
      </c>
      <c r="B19" s="19" t="n">
        <f aca="false">ThongTin!$C$25</f>
        <v>10</v>
      </c>
      <c r="C19" s="20" t="n">
        <v>6</v>
      </c>
      <c r="D19" s="21" t="n">
        <f aca="false">SQRT(C19)</f>
        <v>2.44948974278318</v>
      </c>
      <c r="E19" s="22" t="n">
        <f aca="false">C19/$B19</f>
        <v>0.6</v>
      </c>
      <c r="F19" s="20" t="n">
        <v>43</v>
      </c>
      <c r="G19" s="21" t="n">
        <f aca="false">SQRT(F19)</f>
        <v>6.557438524302</v>
      </c>
      <c r="H19" s="22" t="n">
        <f aca="false">F19/$B19</f>
        <v>4.3</v>
      </c>
      <c r="I19" s="20" t="n">
        <v>100</v>
      </c>
      <c r="J19" s="21" t="n">
        <f aca="false">SQRT(I19)</f>
        <v>10</v>
      </c>
      <c r="K19" s="22" t="n">
        <f aca="false">I19/$B19</f>
        <v>10</v>
      </c>
    </row>
    <row r="20" customFormat="false" ht="15" hidden="false" customHeight="false" outlineLevel="0" collapsed="false">
      <c r="A20" s="9" t="n">
        <v>12</v>
      </c>
      <c r="B20" s="19" t="n">
        <f aca="false">ThongTin!$C$25</f>
        <v>10</v>
      </c>
      <c r="C20" s="20" t="n">
        <v>4</v>
      </c>
      <c r="D20" s="21" t="n">
        <f aca="false">SQRT(C20)</f>
        <v>2</v>
      </c>
      <c r="E20" s="22" t="n">
        <f aca="false">C20/$B20</f>
        <v>0.4</v>
      </c>
      <c r="F20" s="20" t="n">
        <v>42</v>
      </c>
      <c r="G20" s="21" t="n">
        <f aca="false">SQRT(F20)</f>
        <v>6.48074069840786</v>
      </c>
      <c r="H20" s="22" t="n">
        <f aca="false">F20/$B20</f>
        <v>4.2</v>
      </c>
      <c r="I20" s="20" t="n">
        <v>95</v>
      </c>
      <c r="J20" s="21" t="n">
        <f aca="false">SQRT(I20)</f>
        <v>9.74679434480896</v>
      </c>
      <c r="K20" s="22" t="n">
        <f aca="false">I20/$B20</f>
        <v>9.5</v>
      </c>
    </row>
    <row r="21" customFormat="false" ht="15" hidden="false" customHeight="false" outlineLevel="0" collapsed="false">
      <c r="A21" s="9" t="n">
        <v>13</v>
      </c>
      <c r="B21" s="19" t="n">
        <f aca="false">ThongTin!$C$25</f>
        <v>10</v>
      </c>
      <c r="C21" s="20" t="n">
        <v>7</v>
      </c>
      <c r="D21" s="21" t="n">
        <f aca="false">SQRT(C21)</f>
        <v>2.64575131106459</v>
      </c>
      <c r="E21" s="22" t="n">
        <f aca="false">C21/$B21</f>
        <v>0.7</v>
      </c>
      <c r="F21" s="20" t="n">
        <v>41</v>
      </c>
      <c r="G21" s="21" t="n">
        <f aca="false">SQRT(F21)</f>
        <v>6.40312423743285</v>
      </c>
      <c r="H21" s="22" t="n">
        <f aca="false">F21/$B21</f>
        <v>4.1</v>
      </c>
      <c r="I21" s="20" t="n">
        <v>113</v>
      </c>
      <c r="J21" s="21" t="n">
        <f aca="false">SQRT(I21)</f>
        <v>10.6301458127347</v>
      </c>
      <c r="K21" s="22" t="n">
        <f aca="false">I21/$B21</f>
        <v>11.3</v>
      </c>
    </row>
    <row r="22" customFormat="false" ht="15" hidden="false" customHeight="false" outlineLevel="0" collapsed="false">
      <c r="A22" s="9" t="n">
        <v>14</v>
      </c>
      <c r="B22" s="19" t="n">
        <f aca="false">ThongTin!$C$25</f>
        <v>10</v>
      </c>
      <c r="C22" s="20" t="n">
        <v>10</v>
      </c>
      <c r="D22" s="21" t="n">
        <f aca="false">SQRT(C22)</f>
        <v>3.16227766016838</v>
      </c>
      <c r="E22" s="22" t="n">
        <f aca="false">C22/$B22</f>
        <v>1</v>
      </c>
      <c r="F22" s="20" t="n">
        <v>36</v>
      </c>
      <c r="G22" s="21" t="n">
        <f aca="false">SQRT(F22)</f>
        <v>6</v>
      </c>
      <c r="H22" s="22" t="n">
        <f aca="false">F22/$B22</f>
        <v>3.6</v>
      </c>
      <c r="I22" s="20" t="n">
        <v>119</v>
      </c>
      <c r="J22" s="21" t="n">
        <f aca="false">SQRT(I22)</f>
        <v>10.9087121146357</v>
      </c>
      <c r="K22" s="22" t="n">
        <f aca="false">I22/$B22</f>
        <v>11.9</v>
      </c>
    </row>
    <row r="23" customFormat="false" ht="15" hidden="false" customHeight="false" outlineLevel="0" collapsed="false">
      <c r="A23" s="9" t="n">
        <v>15</v>
      </c>
      <c r="B23" s="19" t="n">
        <f aca="false">ThongTin!$C$25</f>
        <v>10</v>
      </c>
      <c r="C23" s="20" t="n">
        <v>6</v>
      </c>
      <c r="D23" s="21" t="n">
        <f aca="false">SQRT(C23)</f>
        <v>2.44948974278318</v>
      </c>
      <c r="E23" s="22" t="n">
        <f aca="false">C23/$B23</f>
        <v>0.6</v>
      </c>
      <c r="F23" s="20" t="n">
        <v>45</v>
      </c>
      <c r="G23" s="21" t="n">
        <f aca="false">SQRT(F23)</f>
        <v>6.70820393249937</v>
      </c>
      <c r="H23" s="22" t="n">
        <f aca="false">F23/$B23</f>
        <v>4.5</v>
      </c>
      <c r="I23" s="20" t="n">
        <v>112</v>
      </c>
      <c r="J23" s="21" t="n">
        <f aca="false">SQRT(I23)</f>
        <v>10.5830052442584</v>
      </c>
      <c r="K23" s="22" t="n">
        <f aca="false">I23/$B23</f>
        <v>11.2</v>
      </c>
    </row>
    <row r="24" customFormat="false" ht="15" hidden="false" customHeight="false" outlineLevel="0" collapsed="false">
      <c r="A24" s="9" t="n">
        <v>16</v>
      </c>
      <c r="B24" s="19" t="n">
        <f aca="false">ThongTin!$C$25</f>
        <v>10</v>
      </c>
      <c r="C24" s="20" t="n">
        <v>2</v>
      </c>
      <c r="D24" s="21" t="n">
        <f aca="false">SQRT(C24)</f>
        <v>1.4142135623731</v>
      </c>
      <c r="E24" s="22" t="n">
        <f aca="false">C24/$B24</f>
        <v>0.2</v>
      </c>
      <c r="F24" s="20" t="n">
        <v>45</v>
      </c>
      <c r="G24" s="21" t="n">
        <f aca="false">SQRT(F24)</f>
        <v>6.70820393249937</v>
      </c>
      <c r="H24" s="22" t="n">
        <f aca="false">F24/$B24</f>
        <v>4.5</v>
      </c>
      <c r="I24" s="20" t="n">
        <v>118</v>
      </c>
      <c r="J24" s="21" t="n">
        <f aca="false">SQRT(I24)</f>
        <v>10.8627804912002</v>
      </c>
      <c r="K24" s="22" t="n">
        <f aca="false">I24/$B24</f>
        <v>11.8</v>
      </c>
    </row>
    <row r="25" customFormat="false" ht="15" hidden="false" customHeight="false" outlineLevel="0" collapsed="false">
      <c r="A25" s="9" t="n">
        <v>17</v>
      </c>
      <c r="B25" s="19" t="n">
        <f aca="false">ThongTin!$C$25</f>
        <v>10</v>
      </c>
      <c r="C25" s="20" t="n">
        <v>5</v>
      </c>
      <c r="D25" s="21" t="n">
        <f aca="false">SQRT(C25)</f>
        <v>2.23606797749979</v>
      </c>
      <c r="E25" s="22" t="n">
        <f aca="false">C25/$B25</f>
        <v>0.5</v>
      </c>
      <c r="F25" s="20" t="n">
        <v>37</v>
      </c>
      <c r="G25" s="21" t="n">
        <f aca="false">SQRT(F25)</f>
        <v>6.08276253029822</v>
      </c>
      <c r="H25" s="22" t="n">
        <f aca="false">F25/$B25</f>
        <v>3.7</v>
      </c>
      <c r="I25" s="20" t="n">
        <v>102</v>
      </c>
      <c r="J25" s="21" t="n">
        <f aca="false">SQRT(I25)</f>
        <v>10.0995049383621</v>
      </c>
      <c r="K25" s="22" t="n">
        <f aca="false">I25/$B25</f>
        <v>10.2</v>
      </c>
    </row>
    <row r="26" customFormat="false" ht="15" hidden="false" customHeight="false" outlineLevel="0" collapsed="false">
      <c r="A26" s="9" t="n">
        <v>18</v>
      </c>
      <c r="B26" s="19" t="n">
        <f aca="false">ThongTin!$C$25</f>
        <v>10</v>
      </c>
      <c r="C26" s="20" t="n">
        <v>8</v>
      </c>
      <c r="D26" s="21" t="n">
        <f aca="false">SQRT(C26)</f>
        <v>2.82842712474619</v>
      </c>
      <c r="E26" s="22" t="n">
        <f aca="false">C26/$B26</f>
        <v>0.8</v>
      </c>
      <c r="F26" s="20" t="n">
        <v>51</v>
      </c>
      <c r="G26" s="21" t="n">
        <f aca="false">SQRT(F26)</f>
        <v>7.14142842854285</v>
      </c>
      <c r="H26" s="22" t="n">
        <f aca="false">F26/$B26</f>
        <v>5.1</v>
      </c>
      <c r="I26" s="20" t="n">
        <v>109</v>
      </c>
      <c r="J26" s="21" t="n">
        <f aca="false">SQRT(I26)</f>
        <v>10.4403065089106</v>
      </c>
      <c r="K26" s="22" t="n">
        <f aca="false">I26/$B26</f>
        <v>10.9</v>
      </c>
    </row>
    <row r="27" customFormat="false" ht="15" hidden="false" customHeight="false" outlineLevel="0" collapsed="false">
      <c r="A27" s="9" t="n">
        <v>19</v>
      </c>
      <c r="B27" s="19" t="n">
        <f aca="false">ThongTin!$C$25</f>
        <v>10</v>
      </c>
      <c r="C27" s="20" t="n">
        <v>6</v>
      </c>
      <c r="D27" s="21" t="n">
        <f aca="false">SQRT(C27)</f>
        <v>2.44948974278318</v>
      </c>
      <c r="E27" s="22" t="n">
        <f aca="false">C27/$B27</f>
        <v>0.6</v>
      </c>
      <c r="F27" s="20" t="n">
        <v>46</v>
      </c>
      <c r="G27" s="21" t="n">
        <f aca="false">SQRT(F27)</f>
        <v>6.78232998312527</v>
      </c>
      <c r="H27" s="22" t="n">
        <f aca="false">F27/$B27</f>
        <v>4.6</v>
      </c>
      <c r="I27" s="20" t="n">
        <v>107</v>
      </c>
      <c r="J27" s="21" t="n">
        <f aca="false">SQRT(I27)</f>
        <v>10.3440804327886</v>
      </c>
      <c r="K27" s="22" t="n">
        <f aca="false">I27/$B27</f>
        <v>10.7</v>
      </c>
    </row>
    <row r="28" customFormat="false" ht="15" hidden="false" customHeight="false" outlineLevel="0" collapsed="false">
      <c r="A28" s="9" t="n">
        <v>20</v>
      </c>
      <c r="B28" s="19" t="n">
        <f aca="false">ThongTin!$C$25</f>
        <v>10</v>
      </c>
      <c r="C28" s="20" t="n">
        <v>3</v>
      </c>
      <c r="D28" s="21" t="n">
        <f aca="false">SQRT(C28)</f>
        <v>1.73205080756888</v>
      </c>
      <c r="E28" s="22" t="n">
        <f aca="false">C28/$B28</f>
        <v>0.3</v>
      </c>
      <c r="F28" s="20" t="n">
        <v>47</v>
      </c>
      <c r="G28" s="21" t="n">
        <f aca="false">SQRT(F28)</f>
        <v>6.85565460040104</v>
      </c>
      <c r="H28" s="22" t="n">
        <f aca="false">F28/$B28</f>
        <v>4.7</v>
      </c>
      <c r="I28" s="20" t="n">
        <v>109</v>
      </c>
      <c r="J28" s="21" t="n">
        <f aca="false">SQRT(I28)</f>
        <v>10.4403065089106</v>
      </c>
      <c r="K28" s="22" t="n">
        <f aca="false">I28/$B28</f>
        <v>10.9</v>
      </c>
    </row>
    <row r="29" customFormat="false" ht="15" hidden="false" customHeight="false" outlineLevel="0" collapsed="false">
      <c r="A29" s="9" t="n">
        <v>21</v>
      </c>
      <c r="B29" s="19" t="n">
        <f aca="false">ThongTin!$C$25</f>
        <v>10</v>
      </c>
      <c r="C29" s="20" t="n">
        <v>10</v>
      </c>
      <c r="D29" s="21" t="n">
        <f aca="false">SQRT(C29)</f>
        <v>3.16227766016838</v>
      </c>
      <c r="E29" s="22" t="n">
        <f aca="false">C29/$B29</f>
        <v>1</v>
      </c>
      <c r="F29" s="20" t="n">
        <v>54</v>
      </c>
      <c r="G29" s="21" t="n">
        <f aca="false">SQRT(F29)</f>
        <v>7.34846922834953</v>
      </c>
      <c r="H29" s="22" t="n">
        <f aca="false">F29/$B29</f>
        <v>5.4</v>
      </c>
      <c r="I29" s="20" t="n">
        <v>94</v>
      </c>
      <c r="J29" s="21" t="n">
        <f aca="false">SQRT(I29)</f>
        <v>9.69535971483266</v>
      </c>
      <c r="K29" s="22" t="n">
        <f aca="false">I29/$B29</f>
        <v>9.4</v>
      </c>
    </row>
    <row r="30" customFormat="false" ht="15" hidden="false" customHeight="false" outlineLevel="0" collapsed="false">
      <c r="A30" s="9" t="n">
        <v>22</v>
      </c>
      <c r="B30" s="19" t="n">
        <f aca="false">ThongTin!$C$25</f>
        <v>10</v>
      </c>
      <c r="C30" s="20" t="n">
        <v>6</v>
      </c>
      <c r="D30" s="21" t="n">
        <f aca="false">SQRT(C30)</f>
        <v>2.44948974278318</v>
      </c>
      <c r="E30" s="22" t="n">
        <f aca="false">C30/$B30</f>
        <v>0.6</v>
      </c>
      <c r="F30" s="20" t="n">
        <v>30</v>
      </c>
      <c r="G30" s="21" t="n">
        <f aca="false">SQRT(F30)</f>
        <v>5.47722557505166</v>
      </c>
      <c r="H30" s="22" t="n">
        <f aca="false">F30/$B30</f>
        <v>3</v>
      </c>
      <c r="I30" s="20" t="n">
        <v>95</v>
      </c>
      <c r="J30" s="21" t="n">
        <f aca="false">SQRT(I30)</f>
        <v>9.74679434480896</v>
      </c>
      <c r="K30" s="22" t="n">
        <f aca="false">I30/$B30</f>
        <v>9.5</v>
      </c>
    </row>
    <row r="31" customFormat="false" ht="15" hidden="false" customHeight="false" outlineLevel="0" collapsed="false">
      <c r="A31" s="9" t="n">
        <v>23</v>
      </c>
      <c r="B31" s="19" t="n">
        <f aca="false">ThongTin!$C$25</f>
        <v>10</v>
      </c>
      <c r="C31" s="20" t="n">
        <v>6</v>
      </c>
      <c r="D31" s="21" t="n">
        <f aca="false">SQRT(C31)</f>
        <v>2.44948974278318</v>
      </c>
      <c r="E31" s="22" t="n">
        <f aca="false">C31/$B31</f>
        <v>0.6</v>
      </c>
      <c r="F31" s="20" t="n">
        <v>40</v>
      </c>
      <c r="G31" s="21" t="n">
        <f aca="false">SQRT(F31)</f>
        <v>6.32455532033676</v>
      </c>
      <c r="H31" s="22" t="n">
        <f aca="false">F31/$B31</f>
        <v>4</v>
      </c>
      <c r="I31" s="20" t="n">
        <v>110</v>
      </c>
      <c r="J31" s="21" t="n">
        <f aca="false">SQRT(I31)</f>
        <v>10.4880884817015</v>
      </c>
      <c r="K31" s="22" t="n">
        <f aca="false">I31/$B31</f>
        <v>11</v>
      </c>
    </row>
    <row r="32" customFormat="false" ht="15" hidden="false" customHeight="false" outlineLevel="0" collapsed="false">
      <c r="A32" s="9" t="n">
        <v>24</v>
      </c>
      <c r="B32" s="19" t="n">
        <f aca="false">ThongTin!$C$25</f>
        <v>10</v>
      </c>
      <c r="C32" s="20" t="n">
        <v>3</v>
      </c>
      <c r="D32" s="21" t="n">
        <f aca="false">SQRT(C32)</f>
        <v>1.73205080756888</v>
      </c>
      <c r="E32" s="22" t="n">
        <f aca="false">C32/$B32</f>
        <v>0.3</v>
      </c>
      <c r="F32" s="20" t="n">
        <v>43</v>
      </c>
      <c r="G32" s="21" t="n">
        <f aca="false">SQRT(F32)</f>
        <v>6.557438524302</v>
      </c>
      <c r="H32" s="22" t="n">
        <f aca="false">F32/$B32</f>
        <v>4.3</v>
      </c>
      <c r="I32" s="20" t="n">
        <v>120</v>
      </c>
      <c r="J32" s="21" t="n">
        <f aca="false">SQRT(I32)</f>
        <v>10.9544511501033</v>
      </c>
      <c r="K32" s="22" t="n">
        <f aca="false">I32/$B32</f>
        <v>12</v>
      </c>
    </row>
    <row r="33" customFormat="false" ht="15" hidden="false" customHeight="false" outlineLevel="0" collapsed="false">
      <c r="A33" s="9" t="n">
        <v>25</v>
      </c>
      <c r="B33" s="19" t="n">
        <f aca="false">ThongTin!$C$25</f>
        <v>10</v>
      </c>
      <c r="C33" s="20" t="n">
        <v>9</v>
      </c>
      <c r="D33" s="21" t="n">
        <f aca="false">SQRT(C33)</f>
        <v>3</v>
      </c>
      <c r="E33" s="22" t="n">
        <f aca="false">C33/$B33</f>
        <v>0.9</v>
      </c>
      <c r="F33" s="20" t="n">
        <v>47</v>
      </c>
      <c r="G33" s="21" t="n">
        <f aca="false">SQRT(F33)</f>
        <v>6.85565460040104</v>
      </c>
      <c r="H33" s="22" t="n">
        <f aca="false">F33/$B33</f>
        <v>4.7</v>
      </c>
      <c r="I33" s="20" t="n">
        <v>114</v>
      </c>
      <c r="J33" s="21" t="n">
        <f aca="false">SQRT(I33)</f>
        <v>10.6770782520313</v>
      </c>
      <c r="K33" s="22" t="n">
        <f aca="false">I33/$B33</f>
        <v>11.4</v>
      </c>
    </row>
    <row r="34" customFormat="false" ht="15" hidden="false" customHeight="false" outlineLevel="0" collapsed="false">
      <c r="A34" s="9" t="n">
        <v>26</v>
      </c>
      <c r="B34" s="19" t="n">
        <f aca="false">ThongTin!$C$25</f>
        <v>10</v>
      </c>
      <c r="C34" s="20" t="n">
        <v>2</v>
      </c>
      <c r="D34" s="21" t="n">
        <f aca="false">SQRT(C34)</f>
        <v>1.4142135623731</v>
      </c>
      <c r="E34" s="22" t="n">
        <f aca="false">C34/$B34</f>
        <v>0.2</v>
      </c>
      <c r="F34" s="20" t="n">
        <v>45</v>
      </c>
      <c r="G34" s="21" t="n">
        <f aca="false">SQRT(F34)</f>
        <v>6.70820393249937</v>
      </c>
      <c r="H34" s="22" t="n">
        <f aca="false">F34/$B34</f>
        <v>4.5</v>
      </c>
      <c r="I34" s="20" t="n">
        <v>106</v>
      </c>
      <c r="J34" s="21" t="n">
        <f aca="false">SQRT(I34)</f>
        <v>10.295630140987</v>
      </c>
      <c r="K34" s="22" t="n">
        <f aca="false">I34/$B34</f>
        <v>10.6</v>
      </c>
    </row>
    <row r="35" customFormat="false" ht="15" hidden="false" customHeight="false" outlineLevel="0" collapsed="false">
      <c r="A35" s="9" t="n">
        <v>27</v>
      </c>
      <c r="B35" s="19" t="n">
        <f aca="false">ThongTin!$C$25</f>
        <v>10</v>
      </c>
      <c r="C35" s="20" t="n">
        <v>6</v>
      </c>
      <c r="D35" s="21" t="n">
        <f aca="false">SQRT(C35)</f>
        <v>2.44948974278318</v>
      </c>
      <c r="E35" s="22" t="n">
        <f aca="false">C35/$B35</f>
        <v>0.6</v>
      </c>
      <c r="F35" s="20" t="n">
        <v>44</v>
      </c>
      <c r="G35" s="21" t="n">
        <f aca="false">SQRT(F35)</f>
        <v>6.6332495807108</v>
      </c>
      <c r="H35" s="22" t="n">
        <f aca="false">F35/$B35</f>
        <v>4.4</v>
      </c>
      <c r="I35" s="20" t="n">
        <v>113</v>
      </c>
      <c r="J35" s="21" t="n">
        <f aca="false">SQRT(I35)</f>
        <v>10.6301458127347</v>
      </c>
      <c r="K35" s="22" t="n">
        <f aca="false">I35/$B35</f>
        <v>11.3</v>
      </c>
    </row>
    <row r="36" customFormat="false" ht="15" hidden="false" customHeight="false" outlineLevel="0" collapsed="false">
      <c r="A36" s="9" t="n">
        <v>28</v>
      </c>
      <c r="B36" s="19" t="n">
        <f aca="false">ThongTin!$C$25</f>
        <v>10</v>
      </c>
      <c r="C36" s="20" t="n">
        <v>2</v>
      </c>
      <c r="D36" s="21" t="n">
        <f aca="false">SQRT(C36)</f>
        <v>1.4142135623731</v>
      </c>
      <c r="E36" s="22" t="n">
        <f aca="false">C36/$B36</f>
        <v>0.2</v>
      </c>
      <c r="F36" s="20" t="n">
        <v>39</v>
      </c>
      <c r="G36" s="21" t="n">
        <f aca="false">SQRT(F36)</f>
        <v>6.2449979983984</v>
      </c>
      <c r="H36" s="22" t="n">
        <f aca="false">F36/$B36</f>
        <v>3.9</v>
      </c>
      <c r="I36" s="20" t="n">
        <v>121</v>
      </c>
      <c r="J36" s="21" t="n">
        <f aca="false">SQRT(I36)</f>
        <v>11</v>
      </c>
      <c r="K36" s="22" t="n">
        <f aca="false">I36/$B36</f>
        <v>12.1</v>
      </c>
    </row>
    <row r="37" customFormat="false" ht="15" hidden="false" customHeight="false" outlineLevel="0" collapsed="false">
      <c r="A37" s="9" t="n">
        <v>29</v>
      </c>
      <c r="B37" s="19" t="n">
        <f aca="false">ThongTin!$C$25</f>
        <v>10</v>
      </c>
      <c r="C37" s="20" t="n">
        <v>6</v>
      </c>
      <c r="D37" s="21" t="n">
        <f aca="false">SQRT(C37)</f>
        <v>2.44948974278318</v>
      </c>
      <c r="E37" s="22" t="n">
        <f aca="false">C37/$B37</f>
        <v>0.6</v>
      </c>
      <c r="F37" s="20" t="n">
        <v>35</v>
      </c>
      <c r="G37" s="21" t="n">
        <f aca="false">SQRT(F37)</f>
        <v>5.91607978309962</v>
      </c>
      <c r="H37" s="22" t="n">
        <f aca="false">F37/$B37</f>
        <v>3.5</v>
      </c>
      <c r="I37" s="20" t="n">
        <v>122</v>
      </c>
      <c r="J37" s="21" t="n">
        <f aca="false">SQRT(I37)</f>
        <v>11.0453610171873</v>
      </c>
      <c r="K37" s="22" t="n">
        <f aca="false">I37/$B37</f>
        <v>12.2</v>
      </c>
    </row>
    <row r="38" customFormat="false" ht="15" hidden="false" customHeight="false" outlineLevel="0" collapsed="false">
      <c r="A38" s="9" t="n">
        <v>30</v>
      </c>
      <c r="B38" s="19" t="n">
        <f aca="false">ThongTin!$C$25</f>
        <v>10</v>
      </c>
      <c r="C38" s="20" t="n">
        <v>10</v>
      </c>
      <c r="D38" s="21" t="n">
        <f aca="false">SQRT(C38)</f>
        <v>3.16227766016838</v>
      </c>
      <c r="E38" s="22" t="n">
        <f aca="false">C38/$B38</f>
        <v>1</v>
      </c>
      <c r="F38" s="20" t="n">
        <v>45</v>
      </c>
      <c r="G38" s="21" t="n">
        <f aca="false">SQRT(F38)</f>
        <v>6.70820393249937</v>
      </c>
      <c r="H38" s="22" t="n">
        <f aca="false">F38/$B38</f>
        <v>4.5</v>
      </c>
      <c r="I38" s="20" t="n">
        <v>126</v>
      </c>
      <c r="J38" s="21" t="n">
        <f aca="false">SQRT(I38)</f>
        <v>11.2249721603218</v>
      </c>
      <c r="K38" s="22" t="n">
        <f aca="false">I38/$B38</f>
        <v>12.6</v>
      </c>
    </row>
    <row r="39" customFormat="false" ht="15" hidden="false" customHeight="false" outlineLevel="0" collapsed="false">
      <c r="A39" s="9" t="n">
        <v>31</v>
      </c>
      <c r="B39" s="19" t="n">
        <f aca="false">ThongTin!$C$25</f>
        <v>10</v>
      </c>
      <c r="C39" s="20" t="n">
        <v>1</v>
      </c>
      <c r="D39" s="21" t="n">
        <f aca="false">SQRT(C39)</f>
        <v>1</v>
      </c>
      <c r="E39" s="22" t="n">
        <f aca="false">C39/$B39</f>
        <v>0.1</v>
      </c>
      <c r="F39" s="20" t="n">
        <v>35</v>
      </c>
      <c r="G39" s="21" t="n">
        <f aca="false">SQRT(F39)</f>
        <v>5.91607978309962</v>
      </c>
      <c r="H39" s="22" t="n">
        <f aca="false">F39/$B39</f>
        <v>3.5</v>
      </c>
      <c r="I39" s="20" t="n">
        <v>105</v>
      </c>
      <c r="J39" s="21" t="n">
        <f aca="false">SQRT(I39)</f>
        <v>10.2469507659596</v>
      </c>
      <c r="K39" s="22" t="n">
        <f aca="false">I39/$B39</f>
        <v>10.5</v>
      </c>
    </row>
    <row r="40" customFormat="false" ht="15" hidden="false" customHeight="false" outlineLevel="0" collapsed="false">
      <c r="A40" s="9" t="n">
        <v>32</v>
      </c>
      <c r="B40" s="19" t="n">
        <f aca="false">ThongTin!$C$25</f>
        <v>10</v>
      </c>
      <c r="C40" s="20" t="n">
        <v>5</v>
      </c>
      <c r="D40" s="21" t="n">
        <f aca="false">SQRT(C40)</f>
        <v>2.23606797749979</v>
      </c>
      <c r="E40" s="22" t="n">
        <f aca="false">C40/$B40</f>
        <v>0.5</v>
      </c>
      <c r="F40" s="20" t="n">
        <v>42</v>
      </c>
      <c r="G40" s="21" t="n">
        <f aca="false">SQRT(F40)</f>
        <v>6.48074069840786</v>
      </c>
      <c r="H40" s="22" t="n">
        <f aca="false">F40/$B40</f>
        <v>4.2</v>
      </c>
      <c r="I40" s="20" t="n">
        <v>114</v>
      </c>
      <c r="J40" s="21" t="n">
        <f aca="false">SQRT(I40)</f>
        <v>10.6770782520313</v>
      </c>
      <c r="K40" s="22" t="n">
        <f aca="false">I40/$B40</f>
        <v>11.4</v>
      </c>
    </row>
    <row r="41" customFormat="false" ht="15" hidden="false" customHeight="false" outlineLevel="0" collapsed="false">
      <c r="A41" s="9" t="n">
        <v>33</v>
      </c>
      <c r="B41" s="19" t="n">
        <f aca="false">ThongTin!$C$25</f>
        <v>10</v>
      </c>
      <c r="C41" s="20" t="n">
        <v>7</v>
      </c>
      <c r="D41" s="21" t="n">
        <f aca="false">SQRT(C41)</f>
        <v>2.64575131106459</v>
      </c>
      <c r="E41" s="22" t="n">
        <f aca="false">C41/$B41</f>
        <v>0.7</v>
      </c>
      <c r="F41" s="20" t="n">
        <v>46</v>
      </c>
      <c r="G41" s="21" t="n">
        <f aca="false">SQRT(F41)</f>
        <v>6.78232998312527</v>
      </c>
      <c r="H41" s="22" t="n">
        <f aca="false">F41/$B41</f>
        <v>4.6</v>
      </c>
      <c r="I41" s="20" t="n">
        <v>114</v>
      </c>
      <c r="J41" s="21" t="n">
        <f aca="false">SQRT(I41)</f>
        <v>10.6770782520313</v>
      </c>
      <c r="K41" s="22" t="n">
        <f aca="false">I41/$B41</f>
        <v>11.4</v>
      </c>
    </row>
    <row r="42" customFormat="false" ht="15" hidden="false" customHeight="false" outlineLevel="0" collapsed="false">
      <c r="A42" s="9" t="n">
        <v>34</v>
      </c>
      <c r="B42" s="19" t="n">
        <f aca="false">ThongTin!$C$25</f>
        <v>10</v>
      </c>
      <c r="C42" s="20" t="n">
        <v>7</v>
      </c>
      <c r="D42" s="21" t="n">
        <f aca="false">SQRT(C42)</f>
        <v>2.64575131106459</v>
      </c>
      <c r="E42" s="22" t="n">
        <f aca="false">C42/$B42</f>
        <v>0.7</v>
      </c>
      <c r="F42" s="20" t="n">
        <v>51</v>
      </c>
      <c r="G42" s="21" t="n">
        <f aca="false">SQRT(F42)</f>
        <v>7.14142842854285</v>
      </c>
      <c r="H42" s="22" t="n">
        <f aca="false">F42/$B42</f>
        <v>5.1</v>
      </c>
      <c r="I42" s="20" t="n">
        <v>128</v>
      </c>
      <c r="J42" s="21" t="n">
        <f aca="false">SQRT(I42)</f>
        <v>11.3137084989848</v>
      </c>
      <c r="K42" s="22" t="n">
        <f aca="false">I42/$B42</f>
        <v>12.8</v>
      </c>
    </row>
    <row r="43" customFormat="false" ht="15" hidden="false" customHeight="false" outlineLevel="0" collapsed="false">
      <c r="A43" s="9" t="n">
        <v>35</v>
      </c>
      <c r="B43" s="19" t="n">
        <f aca="false">ThongTin!$C$25</f>
        <v>10</v>
      </c>
      <c r="C43" s="20" t="n">
        <v>4</v>
      </c>
      <c r="D43" s="21" t="n">
        <f aca="false">SQRT(C43)</f>
        <v>2</v>
      </c>
      <c r="E43" s="22" t="n">
        <f aca="false">C43/$B43</f>
        <v>0.4</v>
      </c>
      <c r="F43" s="20" t="n">
        <v>49</v>
      </c>
      <c r="G43" s="21" t="n">
        <f aca="false">SQRT(F43)</f>
        <v>7</v>
      </c>
      <c r="H43" s="22" t="n">
        <f aca="false">F43/$B43</f>
        <v>4.9</v>
      </c>
      <c r="I43" s="20" t="n">
        <v>103</v>
      </c>
      <c r="J43" s="21" t="n">
        <f aca="false">SQRT(I43)</f>
        <v>10.1488915650922</v>
      </c>
      <c r="K43" s="22" t="n">
        <f aca="false">I43/$B43</f>
        <v>10.3</v>
      </c>
    </row>
    <row r="44" customFormat="false" ht="15" hidden="false" customHeight="false" outlineLevel="0" collapsed="false">
      <c r="A44" s="9" t="n">
        <v>36</v>
      </c>
      <c r="B44" s="19" t="n">
        <f aca="false">ThongTin!$C$25</f>
        <v>10</v>
      </c>
      <c r="C44" s="20" t="n">
        <v>4</v>
      </c>
      <c r="D44" s="21" t="n">
        <f aca="false">SQRT(C44)</f>
        <v>2</v>
      </c>
      <c r="E44" s="22" t="n">
        <f aca="false">C44/$B44</f>
        <v>0.4</v>
      </c>
      <c r="F44" s="20" t="n">
        <v>38</v>
      </c>
      <c r="G44" s="21" t="n">
        <f aca="false">SQRT(F44)</f>
        <v>6.16441400296898</v>
      </c>
      <c r="H44" s="22" t="n">
        <f aca="false">F44/$B44</f>
        <v>3.8</v>
      </c>
      <c r="I44" s="20" t="n">
        <v>117</v>
      </c>
      <c r="J44" s="21" t="n">
        <f aca="false">SQRT(I44)</f>
        <v>10.816653826392</v>
      </c>
      <c r="K44" s="22" t="n">
        <f aca="false">I44/$B44</f>
        <v>11.7</v>
      </c>
    </row>
    <row r="45" customFormat="false" ht="15" hidden="false" customHeight="false" outlineLevel="0" collapsed="false">
      <c r="A45" s="9" t="n">
        <v>37</v>
      </c>
      <c r="B45" s="19" t="n">
        <f aca="false">ThongTin!$C$25</f>
        <v>10</v>
      </c>
      <c r="C45" s="20" t="n">
        <v>6</v>
      </c>
      <c r="D45" s="21" t="n">
        <f aca="false">SQRT(C45)</f>
        <v>2.44948974278318</v>
      </c>
      <c r="E45" s="22" t="n">
        <f aca="false">C45/$B45</f>
        <v>0.6</v>
      </c>
      <c r="F45" s="20" t="n">
        <v>42</v>
      </c>
      <c r="G45" s="21" t="n">
        <f aca="false">SQRT(F45)</f>
        <v>6.48074069840786</v>
      </c>
      <c r="H45" s="22" t="n">
        <f aca="false">F45/$B45</f>
        <v>4.2</v>
      </c>
      <c r="I45" s="20" t="n">
        <v>105</v>
      </c>
      <c r="J45" s="21" t="n">
        <f aca="false">SQRT(I45)</f>
        <v>10.2469507659596</v>
      </c>
      <c r="K45" s="22" t="n">
        <f aca="false">I45/$B45</f>
        <v>10.5</v>
      </c>
    </row>
    <row r="46" customFormat="false" ht="15" hidden="false" customHeight="false" outlineLevel="0" collapsed="false">
      <c r="A46" s="9" t="n">
        <v>38</v>
      </c>
      <c r="B46" s="19" t="n">
        <f aca="false">ThongTin!$C$25</f>
        <v>10</v>
      </c>
      <c r="C46" s="20" t="n">
        <v>5</v>
      </c>
      <c r="D46" s="21" t="n">
        <f aca="false">SQRT(C46)</f>
        <v>2.23606797749979</v>
      </c>
      <c r="E46" s="22" t="n">
        <f aca="false">C46/$B46</f>
        <v>0.5</v>
      </c>
      <c r="F46" s="20" t="n">
        <v>36</v>
      </c>
      <c r="G46" s="21" t="n">
        <f aca="false">SQRT(F46)</f>
        <v>6</v>
      </c>
      <c r="H46" s="22" t="n">
        <f aca="false">F46/$B46</f>
        <v>3.6</v>
      </c>
      <c r="I46" s="20" t="n">
        <v>112</v>
      </c>
      <c r="J46" s="21" t="n">
        <f aca="false">SQRT(I46)</f>
        <v>10.5830052442584</v>
      </c>
      <c r="K46" s="22" t="n">
        <f aca="false">I46/$B46</f>
        <v>11.2</v>
      </c>
    </row>
    <row r="47" customFormat="false" ht="15" hidden="false" customHeight="false" outlineLevel="0" collapsed="false">
      <c r="A47" s="9" t="n">
        <v>39</v>
      </c>
      <c r="B47" s="19" t="n">
        <f aca="false">ThongTin!$C$25</f>
        <v>10</v>
      </c>
      <c r="C47" s="20" t="n">
        <v>7</v>
      </c>
      <c r="D47" s="21" t="n">
        <f aca="false">SQRT(C47)</f>
        <v>2.64575131106459</v>
      </c>
      <c r="E47" s="22" t="n">
        <f aca="false">C47/$B47</f>
        <v>0.7</v>
      </c>
      <c r="F47" s="20" t="n">
        <v>52</v>
      </c>
      <c r="G47" s="21" t="n">
        <f aca="false">SQRT(F47)</f>
        <v>7.21110255092798</v>
      </c>
      <c r="H47" s="22" t="n">
        <f aca="false">F47/$B47</f>
        <v>5.2</v>
      </c>
      <c r="I47" s="20" t="n">
        <v>112</v>
      </c>
      <c r="J47" s="21" t="n">
        <f aca="false">SQRT(I47)</f>
        <v>10.5830052442584</v>
      </c>
      <c r="K47" s="22" t="n">
        <f aca="false">I47/$B47</f>
        <v>11.2</v>
      </c>
    </row>
    <row r="48" customFormat="false" ht="15" hidden="false" customHeight="false" outlineLevel="0" collapsed="false">
      <c r="A48" s="9" t="n">
        <v>40</v>
      </c>
      <c r="B48" s="19" t="n">
        <f aca="false">ThongTin!$C$25</f>
        <v>10</v>
      </c>
      <c r="C48" s="20" t="n">
        <v>4</v>
      </c>
      <c r="D48" s="21" t="n">
        <f aca="false">SQRT(C48)</f>
        <v>2</v>
      </c>
      <c r="E48" s="22" t="n">
        <f aca="false">C48/$B48</f>
        <v>0.4</v>
      </c>
      <c r="F48" s="20" t="n">
        <v>39</v>
      </c>
      <c r="G48" s="21" t="n">
        <f aca="false">SQRT(F48)</f>
        <v>6.2449979983984</v>
      </c>
      <c r="H48" s="22" t="n">
        <f aca="false">F48/$B48</f>
        <v>3.9</v>
      </c>
      <c r="I48" s="20" t="n">
        <v>119</v>
      </c>
      <c r="J48" s="21" t="n">
        <f aca="false">SQRT(I48)</f>
        <v>10.9087121146357</v>
      </c>
      <c r="K48" s="22" t="n">
        <f aca="false">I48/$B48</f>
        <v>11.9</v>
      </c>
    </row>
    <row r="49" customFormat="false" ht="15" hidden="false" customHeight="false" outlineLevel="0" collapsed="false">
      <c r="A49" s="9" t="n">
        <v>41</v>
      </c>
      <c r="B49" s="19" t="n">
        <f aca="false">ThongTin!$C$25</f>
        <v>10</v>
      </c>
      <c r="C49" s="20" t="n">
        <v>1</v>
      </c>
      <c r="D49" s="21" t="n">
        <f aca="false">SQRT(C49)</f>
        <v>1</v>
      </c>
      <c r="E49" s="22" t="n">
        <f aca="false">C49/$B49</f>
        <v>0.1</v>
      </c>
      <c r="F49" s="20" t="n">
        <v>49</v>
      </c>
      <c r="G49" s="21" t="n">
        <f aca="false">SQRT(F49)</f>
        <v>7</v>
      </c>
      <c r="H49" s="22" t="n">
        <f aca="false">F49/$B49</f>
        <v>4.9</v>
      </c>
      <c r="I49" s="20" t="n">
        <v>117</v>
      </c>
      <c r="J49" s="21" t="n">
        <f aca="false">SQRT(I49)</f>
        <v>10.816653826392</v>
      </c>
      <c r="K49" s="22" t="n">
        <f aca="false">I49/$B49</f>
        <v>11.7</v>
      </c>
    </row>
    <row r="50" customFormat="false" ht="15" hidden="false" customHeight="false" outlineLevel="0" collapsed="false">
      <c r="A50" s="9" t="n">
        <v>42</v>
      </c>
      <c r="B50" s="19" t="n">
        <f aca="false">ThongTin!$C$25</f>
        <v>10</v>
      </c>
      <c r="C50" s="20" t="n">
        <v>9</v>
      </c>
      <c r="D50" s="21" t="n">
        <f aca="false">SQRT(C50)</f>
        <v>3</v>
      </c>
      <c r="E50" s="22" t="n">
        <f aca="false">C50/$B50</f>
        <v>0.9</v>
      </c>
      <c r="F50" s="20" t="n">
        <v>29</v>
      </c>
      <c r="G50" s="21" t="n">
        <f aca="false">SQRT(F50)</f>
        <v>5.3851648071345</v>
      </c>
      <c r="H50" s="22" t="n">
        <f aca="false">F50/$B50</f>
        <v>2.9</v>
      </c>
      <c r="I50" s="20" t="n">
        <v>104</v>
      </c>
      <c r="J50" s="21" t="n">
        <f aca="false">SQRT(I50)</f>
        <v>10.1980390271856</v>
      </c>
      <c r="K50" s="22" t="n">
        <f aca="false">I50/$B50</f>
        <v>10.4</v>
      </c>
    </row>
    <row r="51" customFormat="false" ht="15" hidden="false" customHeight="false" outlineLevel="0" collapsed="false">
      <c r="A51" s="9" t="n">
        <v>43</v>
      </c>
      <c r="B51" s="19" t="n">
        <f aca="false">ThongTin!$C$25</f>
        <v>10</v>
      </c>
      <c r="C51" s="20" t="n">
        <v>6</v>
      </c>
      <c r="D51" s="21" t="n">
        <f aca="false">SQRT(C51)</f>
        <v>2.44948974278318</v>
      </c>
      <c r="E51" s="22" t="n">
        <f aca="false">C51/$B51</f>
        <v>0.6</v>
      </c>
      <c r="F51" s="20" t="n">
        <v>34</v>
      </c>
      <c r="G51" s="21" t="n">
        <f aca="false">SQRT(F51)</f>
        <v>5.8309518948453</v>
      </c>
      <c r="H51" s="22" t="n">
        <f aca="false">F51/$B51</f>
        <v>3.4</v>
      </c>
      <c r="I51" s="20" t="n">
        <v>116</v>
      </c>
      <c r="J51" s="21" t="n">
        <f aca="false">SQRT(I51)</f>
        <v>10.770329614269</v>
      </c>
      <c r="K51" s="22" t="n">
        <f aca="false">I51/$B51</f>
        <v>11.6</v>
      </c>
    </row>
    <row r="52" customFormat="false" ht="15" hidden="false" customHeight="false" outlineLevel="0" collapsed="false">
      <c r="A52" s="9" t="n">
        <v>44</v>
      </c>
      <c r="B52" s="19" t="n">
        <f aca="false">ThongTin!$C$25</f>
        <v>10</v>
      </c>
      <c r="C52" s="20" t="n">
        <v>6</v>
      </c>
      <c r="D52" s="21" t="n">
        <f aca="false">SQRT(C52)</f>
        <v>2.44948974278318</v>
      </c>
      <c r="E52" s="22" t="n">
        <f aca="false">C52/$B52</f>
        <v>0.6</v>
      </c>
      <c r="F52" s="20" t="n">
        <v>47</v>
      </c>
      <c r="G52" s="21" t="n">
        <f aca="false">SQRT(F52)</f>
        <v>6.85565460040104</v>
      </c>
      <c r="H52" s="22" t="n">
        <f aca="false">F52/$B52</f>
        <v>4.7</v>
      </c>
      <c r="I52" s="20" t="n">
        <v>128</v>
      </c>
      <c r="J52" s="21" t="n">
        <f aca="false">SQRT(I52)</f>
        <v>11.3137084989848</v>
      </c>
      <c r="K52" s="22" t="n">
        <f aca="false">I52/$B52</f>
        <v>12.8</v>
      </c>
    </row>
    <row r="53" customFormat="false" ht="15" hidden="false" customHeight="false" outlineLevel="0" collapsed="false">
      <c r="A53" s="9" t="n">
        <v>45</v>
      </c>
      <c r="B53" s="19" t="n">
        <f aca="false">ThongTin!$C$25</f>
        <v>10</v>
      </c>
      <c r="C53" s="20" t="n">
        <v>4</v>
      </c>
      <c r="D53" s="21" t="n">
        <f aca="false">SQRT(C53)</f>
        <v>2</v>
      </c>
      <c r="E53" s="22" t="n">
        <f aca="false">C53/$B53</f>
        <v>0.4</v>
      </c>
      <c r="F53" s="20" t="n">
        <v>40</v>
      </c>
      <c r="G53" s="21" t="n">
        <f aca="false">SQRT(F53)</f>
        <v>6.32455532033676</v>
      </c>
      <c r="H53" s="22" t="n">
        <f aca="false">F53/$B53</f>
        <v>4</v>
      </c>
      <c r="I53" s="20" t="n">
        <v>119</v>
      </c>
      <c r="J53" s="21" t="n">
        <f aca="false">SQRT(I53)</f>
        <v>10.9087121146357</v>
      </c>
      <c r="K53" s="22" t="n">
        <f aca="false">I53/$B53</f>
        <v>11.9</v>
      </c>
    </row>
    <row r="54" customFormat="false" ht="15" hidden="false" customHeight="false" outlineLevel="0" collapsed="false">
      <c r="A54" s="9" t="n">
        <v>46</v>
      </c>
      <c r="B54" s="19" t="n">
        <f aca="false">ThongTin!$C$25</f>
        <v>10</v>
      </c>
      <c r="C54" s="20" t="n">
        <v>1</v>
      </c>
      <c r="D54" s="21" t="n">
        <f aca="false">SQRT(C54)</f>
        <v>1</v>
      </c>
      <c r="E54" s="22" t="n">
        <f aca="false">C54/$B54</f>
        <v>0.1</v>
      </c>
      <c r="F54" s="20" t="n">
        <v>47</v>
      </c>
      <c r="G54" s="21" t="n">
        <f aca="false">SQRT(F54)</f>
        <v>6.85565460040104</v>
      </c>
      <c r="H54" s="22" t="n">
        <f aca="false">F54/$B54</f>
        <v>4.7</v>
      </c>
      <c r="I54" s="20" t="n">
        <v>113</v>
      </c>
      <c r="J54" s="21" t="n">
        <f aca="false">SQRT(I54)</f>
        <v>10.6301458127347</v>
      </c>
      <c r="K54" s="22" t="n">
        <f aca="false">I54/$B54</f>
        <v>11.3</v>
      </c>
    </row>
    <row r="55" customFormat="false" ht="15" hidden="false" customHeight="false" outlineLevel="0" collapsed="false">
      <c r="A55" s="9" t="n">
        <v>47</v>
      </c>
      <c r="B55" s="19" t="n">
        <f aca="false">ThongTin!$C$25</f>
        <v>10</v>
      </c>
      <c r="C55" s="20" t="n">
        <v>5</v>
      </c>
      <c r="D55" s="21" t="n">
        <f aca="false">SQRT(C55)</f>
        <v>2.23606797749979</v>
      </c>
      <c r="E55" s="22" t="n">
        <f aca="false">C55/$B55</f>
        <v>0.5</v>
      </c>
      <c r="F55" s="20" t="n">
        <v>37</v>
      </c>
      <c r="G55" s="21" t="n">
        <f aca="false">SQRT(F55)</f>
        <v>6.08276253029822</v>
      </c>
      <c r="H55" s="22" t="n">
        <f aca="false">F55/$B55</f>
        <v>3.7</v>
      </c>
      <c r="I55" s="20" t="n">
        <v>117</v>
      </c>
      <c r="J55" s="21" t="n">
        <f aca="false">SQRT(I55)</f>
        <v>10.816653826392</v>
      </c>
      <c r="K55" s="22" t="n">
        <f aca="false">I55/$B55</f>
        <v>11.7</v>
      </c>
    </row>
    <row r="56" customFormat="false" ht="15" hidden="false" customHeight="false" outlineLevel="0" collapsed="false">
      <c r="A56" s="9" t="n">
        <v>48</v>
      </c>
      <c r="B56" s="19" t="n">
        <f aca="false">ThongTin!$C$25</f>
        <v>10</v>
      </c>
      <c r="C56" s="20" t="n">
        <v>6</v>
      </c>
      <c r="D56" s="21" t="n">
        <f aca="false">SQRT(C56)</f>
        <v>2.44948974278318</v>
      </c>
      <c r="E56" s="22" t="n">
        <f aca="false">C56/$B56</f>
        <v>0.6</v>
      </c>
      <c r="F56" s="20" t="n">
        <v>46</v>
      </c>
      <c r="G56" s="21" t="n">
        <f aca="false">SQRT(F56)</f>
        <v>6.78232998312527</v>
      </c>
      <c r="H56" s="22" t="n">
        <f aca="false">F56/$B56</f>
        <v>4.6</v>
      </c>
      <c r="I56" s="20" t="n">
        <v>125</v>
      </c>
      <c r="J56" s="21" t="n">
        <f aca="false">SQRT(I56)</f>
        <v>11.1803398874989</v>
      </c>
      <c r="K56" s="22" t="n">
        <f aca="false">I56/$B56</f>
        <v>12.5</v>
      </c>
    </row>
    <row r="57" customFormat="false" ht="15" hidden="false" customHeight="false" outlineLevel="0" collapsed="false">
      <c r="A57" s="9" t="n">
        <v>49</v>
      </c>
      <c r="B57" s="19" t="n">
        <f aca="false">ThongTin!$C$25</f>
        <v>10</v>
      </c>
      <c r="C57" s="20" t="n">
        <v>5</v>
      </c>
      <c r="D57" s="21" t="n">
        <f aca="false">SQRT(C57)</f>
        <v>2.23606797749979</v>
      </c>
      <c r="E57" s="22" t="n">
        <f aca="false">C57/$B57</f>
        <v>0.5</v>
      </c>
      <c r="F57" s="20" t="n">
        <v>42</v>
      </c>
      <c r="G57" s="21" t="n">
        <f aca="false">SQRT(F57)</f>
        <v>6.48074069840786</v>
      </c>
      <c r="H57" s="22" t="n">
        <f aca="false">F57/$B57</f>
        <v>4.2</v>
      </c>
      <c r="I57" s="20" t="n">
        <v>113</v>
      </c>
      <c r="J57" s="21" t="n">
        <f aca="false">SQRT(I57)</f>
        <v>10.6301458127347</v>
      </c>
      <c r="K57" s="22" t="n">
        <f aca="false">I57/$B57</f>
        <v>11.3</v>
      </c>
    </row>
    <row r="58" customFormat="false" ht="15" hidden="false" customHeight="false" outlineLevel="0" collapsed="false">
      <c r="A58" s="9" t="n">
        <v>50</v>
      </c>
      <c r="B58" s="19" t="n">
        <f aca="false">ThongTin!$C$25</f>
        <v>10</v>
      </c>
      <c r="C58" s="20" t="n">
        <v>3</v>
      </c>
      <c r="D58" s="21" t="n">
        <f aca="false">SQRT(C58)</f>
        <v>1.73205080756888</v>
      </c>
      <c r="E58" s="22" t="n">
        <f aca="false">C58/$B58</f>
        <v>0.3</v>
      </c>
      <c r="F58" s="20" t="n">
        <v>42</v>
      </c>
      <c r="G58" s="21" t="n">
        <f aca="false">SQRT(F58)</f>
        <v>6.48074069840786</v>
      </c>
      <c r="H58" s="22" t="n">
        <f aca="false">F58/$B58</f>
        <v>4.2</v>
      </c>
      <c r="I58" s="20" t="n">
        <v>98</v>
      </c>
      <c r="J58" s="21" t="n">
        <f aca="false">SQRT(I58)</f>
        <v>9.89949493661167</v>
      </c>
      <c r="K58" s="22" t="n">
        <f aca="false">I58/$B58</f>
        <v>9.8</v>
      </c>
    </row>
    <row r="59" customFormat="false" ht="15" hidden="false" customHeight="false" outlineLevel="0" collapsed="false">
      <c r="A59" s="9" t="n">
        <v>51</v>
      </c>
      <c r="B59" s="19" t="n">
        <f aca="false">ThongTin!$C$25</f>
        <v>10</v>
      </c>
      <c r="C59" s="20" t="n">
        <v>7</v>
      </c>
      <c r="D59" s="21" t="n">
        <f aca="false">SQRT(C59)</f>
        <v>2.64575131106459</v>
      </c>
      <c r="E59" s="22" t="n">
        <f aca="false">C59/$B59</f>
        <v>0.7</v>
      </c>
      <c r="F59" s="20" t="n">
        <v>33</v>
      </c>
      <c r="G59" s="21" t="n">
        <f aca="false">SQRT(F59)</f>
        <v>5.74456264653803</v>
      </c>
      <c r="H59" s="22" t="n">
        <f aca="false">F59/$B59</f>
        <v>3.3</v>
      </c>
      <c r="I59" s="20" t="n">
        <v>107</v>
      </c>
      <c r="J59" s="21" t="n">
        <f aca="false">SQRT(I59)</f>
        <v>10.3440804327886</v>
      </c>
      <c r="K59" s="22" t="n">
        <f aca="false">I59/$B59</f>
        <v>10.7</v>
      </c>
    </row>
    <row r="60" customFormat="false" ht="15" hidden="false" customHeight="false" outlineLevel="0" collapsed="false">
      <c r="A60" s="9" t="n">
        <v>52</v>
      </c>
      <c r="B60" s="19" t="n">
        <f aca="false">ThongTin!$C$25</f>
        <v>10</v>
      </c>
      <c r="C60" s="20" t="n">
        <v>4</v>
      </c>
      <c r="D60" s="21" t="n">
        <f aca="false">SQRT(C60)</f>
        <v>2</v>
      </c>
      <c r="E60" s="22" t="n">
        <f aca="false">C60/$B60</f>
        <v>0.4</v>
      </c>
      <c r="F60" s="20" t="n">
        <v>47</v>
      </c>
      <c r="G60" s="21" t="n">
        <f aca="false">SQRT(F60)</f>
        <v>6.85565460040104</v>
      </c>
      <c r="H60" s="22" t="n">
        <f aca="false">F60/$B60</f>
        <v>4.7</v>
      </c>
      <c r="I60" s="20" t="n">
        <v>116</v>
      </c>
      <c r="J60" s="21" t="n">
        <f aca="false">SQRT(I60)</f>
        <v>10.770329614269</v>
      </c>
      <c r="K60" s="22" t="n">
        <f aca="false">I60/$B60</f>
        <v>11.6</v>
      </c>
    </row>
    <row r="61" customFormat="false" ht="15" hidden="false" customHeight="false" outlineLevel="0" collapsed="false">
      <c r="A61" s="9" t="n">
        <v>53</v>
      </c>
      <c r="B61" s="19" t="n">
        <f aca="false">ThongTin!$C$25</f>
        <v>10</v>
      </c>
      <c r="C61" s="20" t="n">
        <v>3</v>
      </c>
      <c r="D61" s="21" t="n">
        <f aca="false">SQRT(C61)</f>
        <v>1.73205080756888</v>
      </c>
      <c r="E61" s="22" t="n">
        <f aca="false">C61/$B61</f>
        <v>0.3</v>
      </c>
      <c r="F61" s="20" t="n">
        <v>39</v>
      </c>
      <c r="G61" s="21" t="n">
        <f aca="false">SQRT(F61)</f>
        <v>6.2449979983984</v>
      </c>
      <c r="H61" s="22" t="n">
        <f aca="false">F61/$B61</f>
        <v>3.9</v>
      </c>
      <c r="I61" s="20" t="n">
        <v>124</v>
      </c>
      <c r="J61" s="21" t="n">
        <f aca="false">SQRT(I61)</f>
        <v>11.13552872566</v>
      </c>
      <c r="K61" s="22" t="n">
        <f aca="false">I61/$B61</f>
        <v>12.4</v>
      </c>
    </row>
    <row r="62" customFormat="false" ht="15" hidden="false" customHeight="false" outlineLevel="0" collapsed="false">
      <c r="A62" s="9" t="n">
        <v>54</v>
      </c>
      <c r="B62" s="19" t="n">
        <f aca="false">ThongTin!$C$25</f>
        <v>10</v>
      </c>
      <c r="C62" s="20" t="n">
        <v>2</v>
      </c>
      <c r="D62" s="21" t="n">
        <f aca="false">SQRT(C62)</f>
        <v>1.4142135623731</v>
      </c>
      <c r="E62" s="22" t="n">
        <f aca="false">C62/$B62</f>
        <v>0.2</v>
      </c>
      <c r="F62" s="20" t="n">
        <v>38</v>
      </c>
      <c r="G62" s="21" t="n">
        <f aca="false">SQRT(F62)</f>
        <v>6.16441400296898</v>
      </c>
      <c r="H62" s="22" t="n">
        <f aca="false">F62/$B62</f>
        <v>3.8</v>
      </c>
      <c r="I62" s="20" t="n">
        <v>129</v>
      </c>
      <c r="J62" s="21" t="n">
        <f aca="false">SQRT(I62)</f>
        <v>11.3578166916005</v>
      </c>
      <c r="K62" s="22" t="n">
        <f aca="false">I62/$B62</f>
        <v>12.9</v>
      </c>
    </row>
    <row r="63" customFormat="false" ht="15" hidden="false" customHeight="false" outlineLevel="0" collapsed="false">
      <c r="A63" s="9" t="n">
        <v>55</v>
      </c>
      <c r="B63" s="19" t="n">
        <f aca="false">ThongTin!$C$25</f>
        <v>10</v>
      </c>
      <c r="C63" s="20" t="n">
        <v>3</v>
      </c>
      <c r="D63" s="21" t="n">
        <f aca="false">SQRT(C63)</f>
        <v>1.73205080756888</v>
      </c>
      <c r="E63" s="22" t="n">
        <f aca="false">C63/$B63</f>
        <v>0.3</v>
      </c>
      <c r="F63" s="20" t="n">
        <v>51</v>
      </c>
      <c r="G63" s="21" t="n">
        <f aca="false">SQRT(F63)</f>
        <v>7.14142842854285</v>
      </c>
      <c r="H63" s="22" t="n">
        <f aca="false">F63/$B63</f>
        <v>5.1</v>
      </c>
      <c r="I63" s="20" t="n">
        <v>125</v>
      </c>
      <c r="J63" s="21" t="n">
        <f aca="false">SQRT(I63)</f>
        <v>11.1803398874989</v>
      </c>
      <c r="K63" s="22" t="n">
        <f aca="false">I63/$B63</f>
        <v>12.5</v>
      </c>
    </row>
    <row r="64" customFormat="false" ht="15" hidden="false" customHeight="false" outlineLevel="0" collapsed="false">
      <c r="A64" s="9" t="n">
        <v>56</v>
      </c>
      <c r="B64" s="19" t="n">
        <f aca="false">ThongTin!$C$25</f>
        <v>10</v>
      </c>
      <c r="C64" s="20" t="n">
        <v>3</v>
      </c>
      <c r="D64" s="21" t="n">
        <f aca="false">SQRT(C64)</f>
        <v>1.73205080756888</v>
      </c>
      <c r="E64" s="22" t="n">
        <f aca="false">C64/$B64</f>
        <v>0.3</v>
      </c>
      <c r="F64" s="20" t="n">
        <v>39</v>
      </c>
      <c r="G64" s="21" t="n">
        <f aca="false">SQRT(F64)</f>
        <v>6.2449979983984</v>
      </c>
      <c r="H64" s="22" t="n">
        <f aca="false">F64/$B64</f>
        <v>3.9</v>
      </c>
      <c r="I64" s="20" t="n">
        <v>109</v>
      </c>
      <c r="J64" s="21" t="n">
        <f aca="false">SQRT(I64)</f>
        <v>10.4403065089106</v>
      </c>
      <c r="K64" s="22" t="n">
        <f aca="false">I64/$B64</f>
        <v>10.9</v>
      </c>
    </row>
    <row r="65" customFormat="false" ht="15" hidden="false" customHeight="false" outlineLevel="0" collapsed="false">
      <c r="A65" s="9" t="n">
        <v>57</v>
      </c>
      <c r="B65" s="19" t="n">
        <f aca="false">ThongTin!$C$25</f>
        <v>10</v>
      </c>
      <c r="C65" s="20" t="n">
        <v>6</v>
      </c>
      <c r="D65" s="21" t="n">
        <f aca="false">SQRT(C65)</f>
        <v>2.44948974278318</v>
      </c>
      <c r="E65" s="22" t="n">
        <f aca="false">C65/$B65</f>
        <v>0.6</v>
      </c>
      <c r="F65" s="20" t="n">
        <v>32</v>
      </c>
      <c r="G65" s="21" t="n">
        <f aca="false">SQRT(F65)</f>
        <v>5.65685424949238</v>
      </c>
      <c r="H65" s="22" t="n">
        <f aca="false">F65/$B65</f>
        <v>3.2</v>
      </c>
      <c r="I65" s="20" t="n">
        <v>86</v>
      </c>
      <c r="J65" s="21" t="n">
        <f aca="false">SQRT(I65)</f>
        <v>9.2736184954957</v>
      </c>
      <c r="K65" s="22" t="n">
        <f aca="false">I65/$B65</f>
        <v>8.6</v>
      </c>
    </row>
    <row r="66" customFormat="false" ht="15" hidden="false" customHeight="false" outlineLevel="0" collapsed="false">
      <c r="A66" s="9" t="n">
        <v>58</v>
      </c>
      <c r="B66" s="19" t="n">
        <f aca="false">ThongTin!$C$25</f>
        <v>10</v>
      </c>
      <c r="C66" s="20" t="n">
        <v>6</v>
      </c>
      <c r="D66" s="21" t="n">
        <f aca="false">SQRT(C66)</f>
        <v>2.44948974278318</v>
      </c>
      <c r="E66" s="22" t="n">
        <f aca="false">C66/$B66</f>
        <v>0.6</v>
      </c>
      <c r="F66" s="20" t="n">
        <v>32</v>
      </c>
      <c r="G66" s="21" t="n">
        <f aca="false">SQRT(F66)</f>
        <v>5.65685424949238</v>
      </c>
      <c r="H66" s="22" t="n">
        <f aca="false">F66/$B66</f>
        <v>3.2</v>
      </c>
      <c r="I66" s="20" t="n">
        <v>81</v>
      </c>
      <c r="J66" s="21" t="n">
        <f aca="false">SQRT(I66)</f>
        <v>9</v>
      </c>
      <c r="K66" s="22" t="n">
        <f aca="false">I66/$B66</f>
        <v>8.1</v>
      </c>
    </row>
    <row r="67" customFormat="false" ht="15" hidden="false" customHeight="false" outlineLevel="0" collapsed="false">
      <c r="A67" s="9" t="n">
        <v>59</v>
      </c>
      <c r="B67" s="19" t="n">
        <f aca="false">ThongTin!$C$25</f>
        <v>10</v>
      </c>
      <c r="C67" s="20" t="n">
        <v>2</v>
      </c>
      <c r="D67" s="21" t="n">
        <f aca="false">SQRT(C67)</f>
        <v>1.4142135623731</v>
      </c>
      <c r="E67" s="22" t="n">
        <f aca="false">C67/$B67</f>
        <v>0.2</v>
      </c>
      <c r="F67" s="20" t="n">
        <v>46</v>
      </c>
      <c r="G67" s="21" t="n">
        <f aca="false">SQRT(F67)</f>
        <v>6.78232998312527</v>
      </c>
      <c r="H67" s="22" t="n">
        <f aca="false">F67/$B67</f>
        <v>4.6</v>
      </c>
      <c r="I67" s="20" t="n">
        <v>101</v>
      </c>
      <c r="J67" s="21" t="n">
        <f aca="false">SQRT(I67)</f>
        <v>10.0498756211209</v>
      </c>
      <c r="K67" s="22" t="n">
        <f aca="false">I67/$B67</f>
        <v>10.1</v>
      </c>
    </row>
    <row r="68" customFormat="false" ht="15" hidden="false" customHeight="false" outlineLevel="0" collapsed="false">
      <c r="A68" s="9" t="n">
        <v>60</v>
      </c>
      <c r="B68" s="19" t="n">
        <f aca="false">ThongTin!$C$25</f>
        <v>10</v>
      </c>
      <c r="C68" s="20" t="n">
        <v>6</v>
      </c>
      <c r="D68" s="21" t="n">
        <f aca="false">SQRT(C68)</f>
        <v>2.44948974278318</v>
      </c>
      <c r="E68" s="22" t="n">
        <f aca="false">C68/$B68</f>
        <v>0.6</v>
      </c>
      <c r="F68" s="20" t="n">
        <v>52</v>
      </c>
      <c r="G68" s="21" t="n">
        <f aca="false">SQRT(F68)</f>
        <v>7.21110255092798</v>
      </c>
      <c r="H68" s="22" t="n">
        <f aca="false">F68/$B68</f>
        <v>5.2</v>
      </c>
      <c r="I68" s="20" t="n">
        <v>114</v>
      </c>
      <c r="J68" s="21" t="n">
        <f aca="false">SQRT(I68)</f>
        <v>10.6770782520313</v>
      </c>
      <c r="K68" s="22" t="n">
        <f aca="false">I68/$B68</f>
        <v>11.4</v>
      </c>
    </row>
    <row r="69" customFormat="false" ht="15" hidden="false" customHeight="false" outlineLevel="0" collapsed="false">
      <c r="A69" s="9" t="n">
        <v>61</v>
      </c>
      <c r="B69" s="19" t="n">
        <f aca="false">ThongTin!$C$25</f>
        <v>10</v>
      </c>
      <c r="C69" s="20" t="n">
        <v>4</v>
      </c>
      <c r="D69" s="21" t="n">
        <f aca="false">SQRT(C69)</f>
        <v>2</v>
      </c>
      <c r="E69" s="22" t="n">
        <f aca="false">C69/$B69</f>
        <v>0.4</v>
      </c>
      <c r="F69" s="20" t="n">
        <v>36</v>
      </c>
      <c r="G69" s="21" t="n">
        <f aca="false">SQRT(F69)</f>
        <v>6</v>
      </c>
      <c r="H69" s="22" t="n">
        <f aca="false">F69/$B69</f>
        <v>3.6</v>
      </c>
      <c r="I69" s="20" t="n">
        <v>125</v>
      </c>
      <c r="J69" s="21" t="n">
        <f aca="false">SQRT(I69)</f>
        <v>11.1803398874989</v>
      </c>
      <c r="K69" s="22" t="n">
        <f aca="false">I69/$B69</f>
        <v>12.5</v>
      </c>
    </row>
    <row r="70" customFormat="false" ht="15" hidden="false" customHeight="false" outlineLevel="0" collapsed="false">
      <c r="A70" s="9" t="n">
        <v>62</v>
      </c>
      <c r="B70" s="19" t="n">
        <f aca="false">ThongTin!$C$25</f>
        <v>10</v>
      </c>
      <c r="C70" s="20" t="n">
        <v>5</v>
      </c>
      <c r="D70" s="21" t="n">
        <f aca="false">SQRT(C70)</f>
        <v>2.23606797749979</v>
      </c>
      <c r="E70" s="22" t="n">
        <f aca="false">C70/$B70</f>
        <v>0.5</v>
      </c>
      <c r="F70" s="20" t="n">
        <v>39</v>
      </c>
      <c r="G70" s="21" t="n">
        <f aca="false">SQRT(F70)</f>
        <v>6.2449979983984</v>
      </c>
      <c r="H70" s="22" t="n">
        <f aca="false">F70/$B70</f>
        <v>3.9</v>
      </c>
      <c r="I70" s="20" t="n">
        <v>127</v>
      </c>
      <c r="J70" s="21" t="n">
        <f aca="false">SQRT(I70)</f>
        <v>11.2694276695846</v>
      </c>
      <c r="K70" s="22" t="n">
        <f aca="false">I70/$B70</f>
        <v>12.7</v>
      </c>
    </row>
    <row r="71" customFormat="false" ht="15" hidden="false" customHeight="false" outlineLevel="0" collapsed="false">
      <c r="A71" s="9" t="n">
        <v>63</v>
      </c>
      <c r="B71" s="19" t="n">
        <f aca="false">ThongTin!$C$25</f>
        <v>10</v>
      </c>
      <c r="C71" s="20" t="n">
        <v>6</v>
      </c>
      <c r="D71" s="21" t="n">
        <f aca="false">SQRT(C71)</f>
        <v>2.44948974278318</v>
      </c>
      <c r="E71" s="22" t="n">
        <f aca="false">C71/$B71</f>
        <v>0.6</v>
      </c>
      <c r="F71" s="20" t="n">
        <v>40</v>
      </c>
      <c r="G71" s="21" t="n">
        <f aca="false">SQRT(F71)</f>
        <v>6.32455532033676</v>
      </c>
      <c r="H71" s="22" t="n">
        <f aca="false">F71/$B71</f>
        <v>4</v>
      </c>
      <c r="I71" s="20" t="n">
        <v>118</v>
      </c>
      <c r="J71" s="21" t="n">
        <f aca="false">SQRT(I71)</f>
        <v>10.8627804912002</v>
      </c>
      <c r="K71" s="22" t="n">
        <f aca="false">I71/$B71</f>
        <v>11.8</v>
      </c>
    </row>
    <row r="72" customFormat="false" ht="15" hidden="false" customHeight="false" outlineLevel="0" collapsed="false">
      <c r="A72" s="9" t="n">
        <v>64</v>
      </c>
      <c r="B72" s="19" t="n">
        <f aca="false">ThongTin!$C$25</f>
        <v>10</v>
      </c>
      <c r="C72" s="20" t="n">
        <v>4</v>
      </c>
      <c r="D72" s="21" t="n">
        <f aca="false">SQRT(C72)</f>
        <v>2</v>
      </c>
      <c r="E72" s="22" t="n">
        <f aca="false">C72/$B72</f>
        <v>0.4</v>
      </c>
      <c r="F72" s="20" t="n">
        <v>58</v>
      </c>
      <c r="G72" s="21" t="n">
        <f aca="false">SQRT(F72)</f>
        <v>7.61577310586391</v>
      </c>
      <c r="H72" s="22" t="n">
        <f aca="false">F72/$B72</f>
        <v>5.8</v>
      </c>
      <c r="I72" s="20" t="n">
        <v>113</v>
      </c>
      <c r="J72" s="21" t="n">
        <f aca="false">SQRT(I72)</f>
        <v>10.6301458127347</v>
      </c>
      <c r="K72" s="22" t="n">
        <f aca="false">I72/$B72</f>
        <v>11.3</v>
      </c>
    </row>
    <row r="73" customFormat="false" ht="15" hidden="false" customHeight="false" outlineLevel="0" collapsed="false">
      <c r="A73" s="9" t="n">
        <v>65</v>
      </c>
      <c r="B73" s="19" t="n">
        <f aca="false">ThongTin!$C$25</f>
        <v>10</v>
      </c>
      <c r="C73" s="20" t="n">
        <v>9</v>
      </c>
      <c r="D73" s="21" t="n">
        <f aca="false">SQRT(C73)</f>
        <v>3</v>
      </c>
      <c r="E73" s="22" t="n">
        <f aca="false">C73/$B73</f>
        <v>0.9</v>
      </c>
      <c r="F73" s="20" t="n">
        <v>41</v>
      </c>
      <c r="G73" s="21" t="n">
        <f aca="false">SQRT(F73)</f>
        <v>6.40312423743285</v>
      </c>
      <c r="H73" s="22" t="n">
        <f aca="false">F73/$B73</f>
        <v>4.1</v>
      </c>
      <c r="I73" s="20" t="n">
        <v>101</v>
      </c>
      <c r="J73" s="21" t="n">
        <f aca="false">SQRT(I73)</f>
        <v>10.0498756211209</v>
      </c>
      <c r="K73" s="22" t="n">
        <f aca="false">I73/$B73</f>
        <v>10.1</v>
      </c>
    </row>
    <row r="74" customFormat="false" ht="15" hidden="false" customHeight="false" outlineLevel="0" collapsed="false">
      <c r="A74" s="9" t="n">
        <v>66</v>
      </c>
      <c r="B74" s="19" t="n">
        <f aca="false">ThongTin!$C$25</f>
        <v>10</v>
      </c>
      <c r="C74" s="20" t="n">
        <v>5</v>
      </c>
      <c r="D74" s="21" t="n">
        <f aca="false">SQRT(C74)</f>
        <v>2.23606797749979</v>
      </c>
      <c r="E74" s="22" t="n">
        <f aca="false">C74/$B74</f>
        <v>0.5</v>
      </c>
      <c r="F74" s="20" t="n">
        <v>47</v>
      </c>
      <c r="G74" s="21" t="n">
        <f aca="false">SQRT(F74)</f>
        <v>6.85565460040104</v>
      </c>
      <c r="H74" s="22" t="n">
        <f aca="false">F74/$B74</f>
        <v>4.7</v>
      </c>
      <c r="I74" s="20" t="n">
        <v>104</v>
      </c>
      <c r="J74" s="21" t="n">
        <f aca="false">SQRT(I74)</f>
        <v>10.1980390271856</v>
      </c>
      <c r="K74" s="22" t="n">
        <f aca="false">I74/$B74</f>
        <v>10.4</v>
      </c>
    </row>
    <row r="75" customFormat="false" ht="15" hidden="false" customHeight="false" outlineLevel="0" collapsed="false">
      <c r="A75" s="9" t="n">
        <v>67</v>
      </c>
      <c r="B75" s="19" t="n">
        <f aca="false">ThongTin!$C$25</f>
        <v>10</v>
      </c>
      <c r="C75" s="20" t="n">
        <v>12</v>
      </c>
      <c r="D75" s="21" t="n">
        <f aca="false">SQRT(C75)</f>
        <v>3.46410161513775</v>
      </c>
      <c r="E75" s="22" t="n">
        <f aca="false">C75/$B75</f>
        <v>1.2</v>
      </c>
      <c r="F75" s="20" t="n">
        <v>47</v>
      </c>
      <c r="G75" s="21" t="n">
        <f aca="false">SQRT(F75)</f>
        <v>6.85565460040104</v>
      </c>
      <c r="H75" s="22" t="n">
        <f aca="false">F75/$B75</f>
        <v>4.7</v>
      </c>
      <c r="I75" s="20" t="n">
        <v>108</v>
      </c>
      <c r="J75" s="21" t="n">
        <f aca="false">SQRT(I75)</f>
        <v>10.3923048454133</v>
      </c>
      <c r="K75" s="22" t="n">
        <f aca="false">I75/$B75</f>
        <v>10.8</v>
      </c>
    </row>
    <row r="76" customFormat="false" ht="15" hidden="false" customHeight="false" outlineLevel="0" collapsed="false">
      <c r="A76" s="9" t="n">
        <v>68</v>
      </c>
      <c r="B76" s="19" t="n">
        <f aca="false">ThongTin!$C$25</f>
        <v>10</v>
      </c>
      <c r="C76" s="20" t="n">
        <v>2</v>
      </c>
      <c r="D76" s="21" t="n">
        <f aca="false">SQRT(C76)</f>
        <v>1.4142135623731</v>
      </c>
      <c r="E76" s="22" t="n">
        <f aca="false">C76/$B76</f>
        <v>0.2</v>
      </c>
      <c r="F76" s="20" t="n">
        <v>31</v>
      </c>
      <c r="G76" s="21" t="n">
        <f aca="false">SQRT(F76)</f>
        <v>5.56776436283002</v>
      </c>
      <c r="H76" s="22" t="n">
        <f aca="false">F76/$B76</f>
        <v>3.1</v>
      </c>
      <c r="I76" s="20" t="n">
        <v>120</v>
      </c>
      <c r="J76" s="21" t="n">
        <f aca="false">SQRT(I76)</f>
        <v>10.9544511501033</v>
      </c>
      <c r="K76" s="22" t="n">
        <f aca="false">I76/$B76</f>
        <v>12</v>
      </c>
    </row>
    <row r="77" customFormat="false" ht="15" hidden="false" customHeight="false" outlineLevel="0" collapsed="false">
      <c r="A77" s="9" t="n">
        <v>69</v>
      </c>
      <c r="B77" s="19" t="n">
        <f aca="false">ThongTin!$C$25</f>
        <v>10</v>
      </c>
      <c r="C77" s="20" t="n">
        <v>4</v>
      </c>
      <c r="D77" s="21" t="n">
        <f aca="false">SQRT(C77)</f>
        <v>2</v>
      </c>
      <c r="E77" s="22" t="n">
        <f aca="false">C77/$B77</f>
        <v>0.4</v>
      </c>
      <c r="F77" s="20" t="n">
        <v>33</v>
      </c>
      <c r="G77" s="21" t="n">
        <f aca="false">SQRT(F77)</f>
        <v>5.74456264653803</v>
      </c>
      <c r="H77" s="22" t="n">
        <f aca="false">F77/$B77</f>
        <v>3.3</v>
      </c>
      <c r="I77" s="20" t="n">
        <v>111</v>
      </c>
      <c r="J77" s="21" t="n">
        <f aca="false">SQRT(I77)</f>
        <v>10.5356537528527</v>
      </c>
      <c r="K77" s="22" t="n">
        <f aca="false">I77/$B77</f>
        <v>11.1</v>
      </c>
    </row>
    <row r="78" customFormat="false" ht="15" hidden="false" customHeight="false" outlineLevel="0" collapsed="false">
      <c r="A78" s="9" t="n">
        <v>70</v>
      </c>
      <c r="B78" s="19" t="n">
        <f aca="false">ThongTin!$C$25</f>
        <v>10</v>
      </c>
      <c r="C78" s="20" t="n">
        <v>6</v>
      </c>
      <c r="D78" s="21" t="n">
        <f aca="false">SQRT(C78)</f>
        <v>2.44948974278318</v>
      </c>
      <c r="E78" s="22" t="n">
        <f aca="false">C78/$B78</f>
        <v>0.6</v>
      </c>
      <c r="F78" s="20" t="n">
        <v>43</v>
      </c>
      <c r="G78" s="21" t="n">
        <f aca="false">SQRT(F78)</f>
        <v>6.557438524302</v>
      </c>
      <c r="H78" s="22" t="n">
        <f aca="false">F78/$B78</f>
        <v>4.3</v>
      </c>
      <c r="I78" s="20" t="n">
        <v>89</v>
      </c>
      <c r="J78" s="21" t="n">
        <f aca="false">SQRT(I78)</f>
        <v>9.4339811320566</v>
      </c>
      <c r="K78" s="22" t="n">
        <f aca="false">I78/$B78</f>
        <v>8.9</v>
      </c>
    </row>
    <row r="79" customFormat="false" ht="15" hidden="false" customHeight="false" outlineLevel="0" collapsed="false">
      <c r="A79" s="9" t="n">
        <v>71</v>
      </c>
      <c r="B79" s="19" t="n">
        <f aca="false">ThongTin!$C$25</f>
        <v>10</v>
      </c>
      <c r="C79" s="20" t="n">
        <v>4</v>
      </c>
      <c r="D79" s="21" t="n">
        <f aca="false">SQRT(C79)</f>
        <v>2</v>
      </c>
      <c r="E79" s="22" t="n">
        <f aca="false">C79/$B79</f>
        <v>0.4</v>
      </c>
      <c r="F79" s="20" t="n">
        <v>28</v>
      </c>
      <c r="G79" s="21" t="n">
        <f aca="false">SQRT(F79)</f>
        <v>5.29150262212918</v>
      </c>
      <c r="H79" s="22" t="n">
        <f aca="false">F79/$B79</f>
        <v>2.8</v>
      </c>
      <c r="I79" s="20" t="n">
        <v>94</v>
      </c>
      <c r="J79" s="21" t="n">
        <f aca="false">SQRT(I79)</f>
        <v>9.69535971483266</v>
      </c>
      <c r="K79" s="22" t="n">
        <f aca="false">I79/$B79</f>
        <v>9.4</v>
      </c>
    </row>
    <row r="80" customFormat="false" ht="15" hidden="false" customHeight="false" outlineLevel="0" collapsed="false">
      <c r="A80" s="9" t="n">
        <v>72</v>
      </c>
      <c r="B80" s="19" t="n">
        <f aca="false">ThongTin!$C$25</f>
        <v>10</v>
      </c>
      <c r="C80" s="20" t="n">
        <v>2</v>
      </c>
      <c r="D80" s="21" t="n">
        <f aca="false">SQRT(C80)</f>
        <v>1.4142135623731</v>
      </c>
      <c r="E80" s="22" t="n">
        <f aca="false">C80/$B80</f>
        <v>0.2</v>
      </c>
      <c r="F80" s="20" t="n">
        <v>29</v>
      </c>
      <c r="G80" s="21" t="n">
        <f aca="false">SQRT(F80)</f>
        <v>5.3851648071345</v>
      </c>
      <c r="H80" s="22" t="n">
        <f aca="false">F80/$B80</f>
        <v>2.9</v>
      </c>
      <c r="I80" s="20" t="n">
        <v>128</v>
      </c>
      <c r="J80" s="21" t="n">
        <f aca="false">SQRT(I80)</f>
        <v>11.3137084989848</v>
      </c>
      <c r="K80" s="22" t="n">
        <f aca="false">I80/$B80</f>
        <v>12.8</v>
      </c>
    </row>
    <row r="81" customFormat="false" ht="15" hidden="false" customHeight="false" outlineLevel="0" collapsed="false">
      <c r="A81" s="9" t="n">
        <v>73</v>
      </c>
      <c r="B81" s="19" t="n">
        <f aca="false">ThongTin!$C$25</f>
        <v>10</v>
      </c>
      <c r="C81" s="20" t="n">
        <v>7</v>
      </c>
      <c r="D81" s="21" t="n">
        <f aca="false">SQRT(C81)</f>
        <v>2.64575131106459</v>
      </c>
      <c r="E81" s="22" t="n">
        <f aca="false">C81/$B81</f>
        <v>0.7</v>
      </c>
      <c r="F81" s="20" t="n">
        <v>38</v>
      </c>
      <c r="G81" s="21" t="n">
        <f aca="false">SQRT(F81)</f>
        <v>6.16441400296898</v>
      </c>
      <c r="H81" s="22" t="n">
        <f aca="false">F81/$B81</f>
        <v>3.8</v>
      </c>
      <c r="I81" s="20" t="n">
        <v>121</v>
      </c>
      <c r="J81" s="21" t="n">
        <f aca="false">SQRT(I81)</f>
        <v>11</v>
      </c>
      <c r="K81" s="22" t="n">
        <f aca="false">I81/$B81</f>
        <v>12.1</v>
      </c>
    </row>
    <row r="82" customFormat="false" ht="15" hidden="false" customHeight="false" outlineLevel="0" collapsed="false">
      <c r="A82" s="9" t="n">
        <v>74</v>
      </c>
      <c r="B82" s="19" t="n">
        <f aca="false">ThongTin!$C$25</f>
        <v>10</v>
      </c>
      <c r="C82" s="20" t="n">
        <v>3</v>
      </c>
      <c r="D82" s="21" t="n">
        <f aca="false">SQRT(C82)</f>
        <v>1.73205080756888</v>
      </c>
      <c r="E82" s="22" t="n">
        <f aca="false">C82/$B82</f>
        <v>0.3</v>
      </c>
      <c r="F82" s="20" t="n">
        <v>40</v>
      </c>
      <c r="G82" s="21" t="n">
        <f aca="false">SQRT(F82)</f>
        <v>6.32455532033676</v>
      </c>
      <c r="H82" s="22" t="n">
        <f aca="false">F82/$B82</f>
        <v>4</v>
      </c>
      <c r="I82" s="20" t="n">
        <v>123</v>
      </c>
      <c r="J82" s="21" t="n">
        <f aca="false">SQRT(I82)</f>
        <v>11.0905365064094</v>
      </c>
      <c r="K82" s="22" t="n">
        <f aca="false">I82/$B82</f>
        <v>12.3</v>
      </c>
    </row>
    <row r="83" customFormat="false" ht="15" hidden="false" customHeight="false" outlineLevel="0" collapsed="false">
      <c r="A83" s="9" t="n">
        <v>75</v>
      </c>
      <c r="B83" s="19" t="n">
        <f aca="false">ThongTin!$C$25</f>
        <v>10</v>
      </c>
      <c r="C83" s="20" t="n">
        <v>6</v>
      </c>
      <c r="D83" s="21" t="n">
        <f aca="false">SQRT(C83)</f>
        <v>2.44948974278318</v>
      </c>
      <c r="E83" s="22" t="n">
        <f aca="false">C83/$B83</f>
        <v>0.6</v>
      </c>
      <c r="F83" s="20" t="n">
        <v>42</v>
      </c>
      <c r="G83" s="21" t="n">
        <f aca="false">SQRT(F83)</f>
        <v>6.48074069840786</v>
      </c>
      <c r="H83" s="22" t="n">
        <f aca="false">F83/$B83</f>
        <v>4.2</v>
      </c>
      <c r="I83" s="20" t="n">
        <v>128</v>
      </c>
      <c r="J83" s="21" t="n">
        <f aca="false">SQRT(I83)</f>
        <v>11.3137084989848</v>
      </c>
      <c r="K83" s="22" t="n">
        <f aca="false">I83/$B83</f>
        <v>12.8</v>
      </c>
    </row>
    <row r="84" customFormat="false" ht="15" hidden="false" customHeight="false" outlineLevel="0" collapsed="false">
      <c r="A84" s="9" t="n">
        <v>76</v>
      </c>
      <c r="B84" s="19" t="n">
        <f aca="false">ThongTin!$C$25</f>
        <v>10</v>
      </c>
      <c r="C84" s="20" t="n">
        <v>4</v>
      </c>
      <c r="D84" s="21" t="n">
        <f aca="false">SQRT(C84)</f>
        <v>2</v>
      </c>
      <c r="E84" s="22" t="n">
        <f aca="false">C84/$B84</f>
        <v>0.4</v>
      </c>
      <c r="F84" s="20" t="n">
        <v>37</v>
      </c>
      <c r="G84" s="21" t="n">
        <f aca="false">SQRT(F84)</f>
        <v>6.08276253029822</v>
      </c>
      <c r="H84" s="22" t="n">
        <f aca="false">F84/$B84</f>
        <v>3.7</v>
      </c>
      <c r="I84" s="20" t="n">
        <v>111</v>
      </c>
      <c r="J84" s="21" t="n">
        <f aca="false">SQRT(I84)</f>
        <v>10.5356537528527</v>
      </c>
      <c r="K84" s="22" t="n">
        <f aca="false">I84/$B84</f>
        <v>11.1</v>
      </c>
    </row>
    <row r="85" customFormat="false" ht="15" hidden="false" customHeight="false" outlineLevel="0" collapsed="false">
      <c r="A85" s="9" t="n">
        <v>77</v>
      </c>
      <c r="B85" s="19" t="n">
        <f aca="false">ThongTin!$C$25</f>
        <v>10</v>
      </c>
      <c r="C85" s="20" t="n">
        <v>12</v>
      </c>
      <c r="D85" s="21" t="n">
        <f aca="false">SQRT(C85)</f>
        <v>3.46410161513775</v>
      </c>
      <c r="E85" s="22" t="n">
        <f aca="false">C85/$B85</f>
        <v>1.2</v>
      </c>
      <c r="F85" s="20" t="n">
        <v>49</v>
      </c>
      <c r="G85" s="21" t="n">
        <f aca="false">SQRT(F85)</f>
        <v>7</v>
      </c>
      <c r="H85" s="22" t="n">
        <f aca="false">F85/$B85</f>
        <v>4.9</v>
      </c>
      <c r="I85" s="20" t="n">
        <v>139</v>
      </c>
      <c r="J85" s="21" t="n">
        <f aca="false">SQRT(I85)</f>
        <v>11.7898261225516</v>
      </c>
      <c r="K85" s="22" t="n">
        <f aca="false">I85/$B85</f>
        <v>13.9</v>
      </c>
    </row>
    <row r="86" customFormat="false" ht="15" hidden="false" customHeight="false" outlineLevel="0" collapsed="false">
      <c r="A86" s="9" t="n">
        <v>78</v>
      </c>
      <c r="B86" s="19" t="n">
        <f aca="false">ThongTin!$C$25</f>
        <v>10</v>
      </c>
      <c r="C86" s="20" t="n">
        <v>9</v>
      </c>
      <c r="D86" s="21" t="n">
        <f aca="false">SQRT(C86)</f>
        <v>3</v>
      </c>
      <c r="E86" s="22" t="n">
        <f aca="false">C86/$B86</f>
        <v>0.9</v>
      </c>
      <c r="F86" s="20" t="n">
        <v>33</v>
      </c>
      <c r="G86" s="21" t="n">
        <f aca="false">SQRT(F86)</f>
        <v>5.74456264653803</v>
      </c>
      <c r="H86" s="22" t="n">
        <f aca="false">F86/$B86</f>
        <v>3.3</v>
      </c>
      <c r="I86" s="20" t="n">
        <v>129</v>
      </c>
      <c r="J86" s="21" t="n">
        <f aca="false">SQRT(I86)</f>
        <v>11.3578166916005</v>
      </c>
      <c r="K86" s="22" t="n">
        <f aca="false">I86/$B86</f>
        <v>12.9</v>
      </c>
    </row>
    <row r="87" customFormat="false" ht="15" hidden="false" customHeight="false" outlineLevel="0" collapsed="false">
      <c r="A87" s="9" t="n">
        <v>79</v>
      </c>
      <c r="B87" s="19" t="n">
        <f aca="false">ThongTin!$C$25</f>
        <v>10</v>
      </c>
      <c r="C87" s="20" t="n">
        <v>7</v>
      </c>
      <c r="D87" s="21" t="n">
        <f aca="false">SQRT(C87)</f>
        <v>2.64575131106459</v>
      </c>
      <c r="E87" s="22" t="n">
        <f aca="false">C87/$B87</f>
        <v>0.7</v>
      </c>
      <c r="F87" s="20" t="n">
        <v>34</v>
      </c>
      <c r="G87" s="21" t="n">
        <f aca="false">SQRT(F87)</f>
        <v>5.8309518948453</v>
      </c>
      <c r="H87" s="22" t="n">
        <f aca="false">F87/$B87</f>
        <v>3.4</v>
      </c>
      <c r="I87" s="20" t="n">
        <v>116</v>
      </c>
      <c r="J87" s="21" t="n">
        <f aca="false">SQRT(I87)</f>
        <v>10.770329614269</v>
      </c>
      <c r="K87" s="22" t="n">
        <f aca="false">I87/$B87</f>
        <v>11.6</v>
      </c>
    </row>
    <row r="88" customFormat="false" ht="15" hidden="false" customHeight="false" outlineLevel="0" collapsed="false">
      <c r="A88" s="9" t="n">
        <v>80</v>
      </c>
      <c r="B88" s="19" t="n">
        <f aca="false">ThongTin!$C$25</f>
        <v>10</v>
      </c>
      <c r="C88" s="20" t="n">
        <v>10</v>
      </c>
      <c r="D88" s="21" t="n">
        <f aca="false">SQRT(C88)</f>
        <v>3.16227766016838</v>
      </c>
      <c r="E88" s="22" t="n">
        <f aca="false">C88/$B88</f>
        <v>1</v>
      </c>
      <c r="F88" s="20" t="n">
        <v>50</v>
      </c>
      <c r="G88" s="21" t="n">
        <f aca="false">SQRT(F88)</f>
        <v>7.07106781186548</v>
      </c>
      <c r="H88" s="22" t="n">
        <f aca="false">F88/$B88</f>
        <v>5</v>
      </c>
      <c r="I88" s="20" t="n">
        <v>112</v>
      </c>
      <c r="J88" s="21" t="n">
        <f aca="false">SQRT(I88)</f>
        <v>10.5830052442584</v>
      </c>
      <c r="K88" s="22" t="n">
        <f aca="false">I88/$B88</f>
        <v>11.2</v>
      </c>
    </row>
    <row r="89" customFormat="false" ht="15" hidden="false" customHeight="false" outlineLevel="0" collapsed="false">
      <c r="A89" s="9" t="n">
        <v>81</v>
      </c>
      <c r="B89" s="19" t="n">
        <f aca="false">ThongTin!$C$25</f>
        <v>10</v>
      </c>
      <c r="C89" s="20" t="n">
        <v>5</v>
      </c>
      <c r="D89" s="21" t="n">
        <f aca="false">SQRT(C89)</f>
        <v>2.23606797749979</v>
      </c>
      <c r="E89" s="22" t="n">
        <f aca="false">C89/$B89</f>
        <v>0.5</v>
      </c>
      <c r="F89" s="20" t="n">
        <v>36</v>
      </c>
      <c r="G89" s="21" t="n">
        <f aca="false">SQRT(F89)</f>
        <v>6</v>
      </c>
      <c r="H89" s="22" t="n">
        <f aca="false">F89/$B89</f>
        <v>3.6</v>
      </c>
      <c r="I89" s="20" t="n">
        <v>121</v>
      </c>
      <c r="J89" s="21" t="n">
        <f aca="false">SQRT(I89)</f>
        <v>11</v>
      </c>
      <c r="K89" s="22" t="n">
        <f aca="false">I89/$B89</f>
        <v>12.1</v>
      </c>
    </row>
    <row r="90" customFormat="false" ht="15" hidden="false" customHeight="false" outlineLevel="0" collapsed="false">
      <c r="A90" s="9" t="n">
        <v>82</v>
      </c>
      <c r="B90" s="19" t="n">
        <f aca="false">ThongTin!$C$25</f>
        <v>10</v>
      </c>
      <c r="C90" s="20" t="n">
        <v>7</v>
      </c>
      <c r="D90" s="21" t="n">
        <f aca="false">SQRT(C90)</f>
        <v>2.64575131106459</v>
      </c>
      <c r="E90" s="22" t="n">
        <f aca="false">C90/$B90</f>
        <v>0.7</v>
      </c>
      <c r="F90" s="20" t="n">
        <v>46</v>
      </c>
      <c r="G90" s="21" t="n">
        <f aca="false">SQRT(F90)</f>
        <v>6.78232998312527</v>
      </c>
      <c r="H90" s="22" t="n">
        <f aca="false">F90/$B90</f>
        <v>4.6</v>
      </c>
      <c r="I90" s="20" t="n">
        <v>94</v>
      </c>
      <c r="J90" s="21" t="n">
        <f aca="false">SQRT(I90)</f>
        <v>9.69535971483266</v>
      </c>
      <c r="K90" s="22" t="n">
        <f aca="false">I90/$B90</f>
        <v>9.4</v>
      </c>
    </row>
    <row r="91" customFormat="false" ht="15" hidden="false" customHeight="false" outlineLevel="0" collapsed="false">
      <c r="A91" s="9" t="n">
        <v>83</v>
      </c>
      <c r="B91" s="19" t="n">
        <f aca="false">ThongTin!$C$25</f>
        <v>10</v>
      </c>
      <c r="C91" s="20" t="n">
        <v>5</v>
      </c>
      <c r="D91" s="21" t="n">
        <f aca="false">SQRT(C91)</f>
        <v>2.23606797749979</v>
      </c>
      <c r="E91" s="22" t="n">
        <f aca="false">C91/$B91</f>
        <v>0.5</v>
      </c>
      <c r="F91" s="20" t="n">
        <v>33</v>
      </c>
      <c r="G91" s="21" t="n">
        <f aca="false">SQRT(F91)</f>
        <v>5.74456264653803</v>
      </c>
      <c r="H91" s="22" t="n">
        <f aca="false">F91/$B91</f>
        <v>3.3</v>
      </c>
      <c r="I91" s="20" t="n">
        <v>108</v>
      </c>
      <c r="J91" s="21" t="n">
        <f aca="false">SQRT(I91)</f>
        <v>10.3923048454133</v>
      </c>
      <c r="K91" s="22" t="n">
        <f aca="false">I91/$B91</f>
        <v>10.8</v>
      </c>
    </row>
    <row r="92" customFormat="false" ht="15" hidden="false" customHeight="false" outlineLevel="0" collapsed="false">
      <c r="A92" s="9" t="n">
        <v>84</v>
      </c>
      <c r="B92" s="19" t="n">
        <f aca="false">ThongTin!$C$25</f>
        <v>10</v>
      </c>
      <c r="C92" s="20" t="n">
        <v>7</v>
      </c>
      <c r="D92" s="21" t="n">
        <f aca="false">SQRT(C92)</f>
        <v>2.64575131106459</v>
      </c>
      <c r="E92" s="22" t="n">
        <f aca="false">C92/$B92</f>
        <v>0.7</v>
      </c>
      <c r="F92" s="20" t="n">
        <v>34</v>
      </c>
      <c r="G92" s="21" t="n">
        <f aca="false">SQRT(F92)</f>
        <v>5.8309518948453</v>
      </c>
      <c r="H92" s="22" t="n">
        <f aca="false">F92/$B92</f>
        <v>3.4</v>
      </c>
      <c r="I92" s="20" t="n">
        <v>111</v>
      </c>
      <c r="J92" s="21" t="n">
        <f aca="false">SQRT(I92)</f>
        <v>10.5356537528527</v>
      </c>
      <c r="K92" s="22" t="n">
        <f aca="false">I92/$B92</f>
        <v>11.1</v>
      </c>
    </row>
    <row r="93" customFormat="false" ht="15" hidden="false" customHeight="false" outlineLevel="0" collapsed="false">
      <c r="A93" s="9" t="n">
        <v>85</v>
      </c>
      <c r="B93" s="19" t="n">
        <f aca="false">ThongTin!$C$25</f>
        <v>10</v>
      </c>
      <c r="C93" s="20" t="n">
        <v>5</v>
      </c>
      <c r="D93" s="21" t="n">
        <f aca="false">SQRT(C93)</f>
        <v>2.23606797749979</v>
      </c>
      <c r="E93" s="22" t="n">
        <f aca="false">C93/$B93</f>
        <v>0.5</v>
      </c>
      <c r="F93" s="20" t="n">
        <v>45</v>
      </c>
      <c r="G93" s="21" t="n">
        <f aca="false">SQRT(F93)</f>
        <v>6.70820393249937</v>
      </c>
      <c r="H93" s="22" t="n">
        <f aca="false">F93/$B93</f>
        <v>4.5</v>
      </c>
      <c r="I93" s="20" t="n">
        <v>102</v>
      </c>
      <c r="J93" s="21" t="n">
        <f aca="false">SQRT(I93)</f>
        <v>10.0995049383621</v>
      </c>
      <c r="K93" s="22" t="n">
        <f aca="false">I93/$B93</f>
        <v>10.2</v>
      </c>
    </row>
    <row r="94" customFormat="false" ht="15" hidden="false" customHeight="false" outlineLevel="0" collapsed="false">
      <c r="A94" s="9" t="n">
        <v>86</v>
      </c>
      <c r="B94" s="19" t="n">
        <f aca="false">ThongTin!$C$25</f>
        <v>10</v>
      </c>
      <c r="C94" s="20" t="n">
        <v>7</v>
      </c>
      <c r="D94" s="21" t="n">
        <f aca="false">SQRT(C94)</f>
        <v>2.64575131106459</v>
      </c>
      <c r="E94" s="22" t="n">
        <f aca="false">C94/$B94</f>
        <v>0.7</v>
      </c>
      <c r="F94" s="20" t="n">
        <v>51</v>
      </c>
      <c r="G94" s="21" t="n">
        <f aca="false">SQRT(F94)</f>
        <v>7.14142842854285</v>
      </c>
      <c r="H94" s="22" t="n">
        <f aca="false">F94/$B94</f>
        <v>5.1</v>
      </c>
      <c r="I94" s="20" t="n">
        <v>120</v>
      </c>
      <c r="J94" s="21" t="n">
        <f aca="false">SQRT(I94)</f>
        <v>10.9544511501033</v>
      </c>
      <c r="K94" s="22" t="n">
        <f aca="false">I94/$B94</f>
        <v>12</v>
      </c>
    </row>
    <row r="95" customFormat="false" ht="15" hidden="false" customHeight="false" outlineLevel="0" collapsed="false">
      <c r="A95" s="9" t="n">
        <v>87</v>
      </c>
      <c r="B95" s="19" t="n">
        <f aca="false">ThongTin!$C$25</f>
        <v>10</v>
      </c>
      <c r="C95" s="20" t="n">
        <v>4</v>
      </c>
      <c r="D95" s="21" t="n">
        <f aca="false">SQRT(C95)</f>
        <v>2</v>
      </c>
      <c r="E95" s="22" t="n">
        <f aca="false">C95/$B95</f>
        <v>0.4</v>
      </c>
      <c r="F95" s="20" t="n">
        <v>38</v>
      </c>
      <c r="G95" s="21" t="n">
        <f aca="false">SQRT(F95)</f>
        <v>6.16441400296898</v>
      </c>
      <c r="H95" s="22" t="n">
        <f aca="false">F95/$B95</f>
        <v>3.8</v>
      </c>
      <c r="I95" s="20" t="n">
        <v>126</v>
      </c>
      <c r="J95" s="21" t="n">
        <f aca="false">SQRT(I95)</f>
        <v>11.2249721603218</v>
      </c>
      <c r="K95" s="22" t="n">
        <f aca="false">I95/$B95</f>
        <v>12.6</v>
      </c>
    </row>
    <row r="96" customFormat="false" ht="15" hidden="false" customHeight="false" outlineLevel="0" collapsed="false">
      <c r="A96" s="9" t="n">
        <v>88</v>
      </c>
      <c r="B96" s="19" t="n">
        <f aca="false">ThongTin!$C$25</f>
        <v>10</v>
      </c>
      <c r="C96" s="20" t="n">
        <v>3</v>
      </c>
      <c r="D96" s="21" t="n">
        <f aca="false">SQRT(C96)</f>
        <v>1.73205080756888</v>
      </c>
      <c r="E96" s="22" t="n">
        <f aca="false">C96/$B96</f>
        <v>0.3</v>
      </c>
      <c r="F96" s="20" t="n">
        <v>56</v>
      </c>
      <c r="G96" s="21" t="n">
        <f aca="false">SQRT(F96)</f>
        <v>7.48331477354788</v>
      </c>
      <c r="H96" s="22" t="n">
        <f aca="false">F96/$B96</f>
        <v>5.6</v>
      </c>
      <c r="I96" s="20" t="n">
        <v>93</v>
      </c>
      <c r="J96" s="21" t="n">
        <f aca="false">SQRT(I96)</f>
        <v>9.64365076099296</v>
      </c>
      <c r="K96" s="22" t="n">
        <f aca="false">I96/$B96</f>
        <v>9.3</v>
      </c>
    </row>
    <row r="97" customFormat="false" ht="15" hidden="false" customHeight="false" outlineLevel="0" collapsed="false">
      <c r="A97" s="9" t="n">
        <v>89</v>
      </c>
      <c r="B97" s="19" t="n">
        <f aca="false">ThongTin!$C$25</f>
        <v>10</v>
      </c>
      <c r="C97" s="20" t="n">
        <v>4</v>
      </c>
      <c r="D97" s="21" t="n">
        <f aca="false">SQRT(C97)</f>
        <v>2</v>
      </c>
      <c r="E97" s="22" t="n">
        <f aca="false">C97/$B97</f>
        <v>0.4</v>
      </c>
      <c r="F97" s="20" t="n">
        <v>41</v>
      </c>
      <c r="G97" s="21" t="n">
        <f aca="false">SQRT(F97)</f>
        <v>6.40312423743285</v>
      </c>
      <c r="H97" s="22" t="n">
        <f aca="false">F97/$B97</f>
        <v>4.1</v>
      </c>
      <c r="I97" s="20" t="n">
        <v>97</v>
      </c>
      <c r="J97" s="21" t="n">
        <f aca="false">SQRT(I97)</f>
        <v>9.8488578017961</v>
      </c>
      <c r="K97" s="22" t="n">
        <f aca="false">I97/$B97</f>
        <v>9.7</v>
      </c>
    </row>
    <row r="98" customFormat="false" ht="15" hidden="false" customHeight="false" outlineLevel="0" collapsed="false">
      <c r="A98" s="9" t="n">
        <v>90</v>
      </c>
      <c r="B98" s="19" t="n">
        <f aca="false">ThongTin!$C$25</f>
        <v>10</v>
      </c>
      <c r="C98" s="20" t="n">
        <v>7</v>
      </c>
      <c r="D98" s="21" t="n">
        <f aca="false">SQRT(C98)</f>
        <v>2.64575131106459</v>
      </c>
      <c r="E98" s="22" t="n">
        <f aca="false">C98/$B98</f>
        <v>0.7</v>
      </c>
      <c r="F98" s="20" t="n">
        <v>47</v>
      </c>
      <c r="G98" s="21" t="n">
        <f aca="false">SQRT(F98)</f>
        <v>6.85565460040104</v>
      </c>
      <c r="H98" s="22" t="n">
        <f aca="false">F98/$B98</f>
        <v>4.7</v>
      </c>
      <c r="I98" s="20" t="n">
        <v>97</v>
      </c>
      <c r="J98" s="21" t="n">
        <f aca="false">SQRT(I98)</f>
        <v>9.8488578017961</v>
      </c>
      <c r="K98" s="22" t="n">
        <f aca="false">I98/$B98</f>
        <v>9.7</v>
      </c>
    </row>
    <row r="99" customFormat="false" ht="15" hidden="false" customHeight="false" outlineLevel="0" collapsed="false">
      <c r="A99" s="9" t="n">
        <v>91</v>
      </c>
      <c r="B99" s="19" t="n">
        <f aca="false">ThongTin!$C$25</f>
        <v>10</v>
      </c>
      <c r="C99" s="20" t="n">
        <v>5</v>
      </c>
      <c r="D99" s="21" t="n">
        <f aca="false">SQRT(C99)</f>
        <v>2.23606797749979</v>
      </c>
      <c r="E99" s="22" t="n">
        <f aca="false">C99/$B99</f>
        <v>0.5</v>
      </c>
      <c r="F99" s="20" t="n">
        <v>39</v>
      </c>
      <c r="G99" s="21" t="n">
        <f aca="false">SQRT(F99)</f>
        <v>6.2449979983984</v>
      </c>
      <c r="H99" s="22" t="n">
        <f aca="false">F99/$B99</f>
        <v>3.9</v>
      </c>
      <c r="I99" s="20" t="n">
        <v>102</v>
      </c>
      <c r="J99" s="21" t="n">
        <f aca="false">SQRT(I99)</f>
        <v>10.0995049383621</v>
      </c>
      <c r="K99" s="22" t="n">
        <f aca="false">I99/$B99</f>
        <v>10.2</v>
      </c>
    </row>
    <row r="100" customFormat="false" ht="15" hidden="false" customHeight="false" outlineLevel="0" collapsed="false">
      <c r="A100" s="9" t="n">
        <v>92</v>
      </c>
      <c r="B100" s="19" t="n">
        <f aca="false">ThongTin!$C$25</f>
        <v>10</v>
      </c>
      <c r="C100" s="20" t="n">
        <v>9</v>
      </c>
      <c r="D100" s="21" t="n">
        <f aca="false">SQRT(C100)</f>
        <v>3</v>
      </c>
      <c r="E100" s="22" t="n">
        <f aca="false">C100/$B100</f>
        <v>0.9</v>
      </c>
      <c r="F100" s="20" t="n">
        <v>47</v>
      </c>
      <c r="G100" s="21" t="n">
        <f aca="false">SQRT(F100)</f>
        <v>6.85565460040104</v>
      </c>
      <c r="H100" s="22" t="n">
        <f aca="false">F100/$B100</f>
        <v>4.7</v>
      </c>
      <c r="I100" s="20" t="n">
        <v>112</v>
      </c>
      <c r="J100" s="21" t="n">
        <f aca="false">SQRT(I100)</f>
        <v>10.5830052442584</v>
      </c>
      <c r="K100" s="22" t="n">
        <f aca="false">I100/$B100</f>
        <v>11.2</v>
      </c>
    </row>
    <row r="101" customFormat="false" ht="15" hidden="false" customHeight="false" outlineLevel="0" collapsed="false">
      <c r="A101" s="9" t="n">
        <v>93</v>
      </c>
      <c r="B101" s="19" t="n">
        <f aca="false">ThongTin!$C$25</f>
        <v>10</v>
      </c>
      <c r="C101" s="20" t="n">
        <v>9</v>
      </c>
      <c r="D101" s="21" t="n">
        <f aca="false">SQRT(C101)</f>
        <v>3</v>
      </c>
      <c r="E101" s="22" t="n">
        <f aca="false">C101/$B101</f>
        <v>0.9</v>
      </c>
      <c r="F101" s="20" t="n">
        <v>52</v>
      </c>
      <c r="G101" s="21" t="n">
        <f aca="false">SQRT(F101)</f>
        <v>7.21110255092798</v>
      </c>
      <c r="H101" s="22" t="n">
        <f aca="false">F101/$B101</f>
        <v>5.2</v>
      </c>
      <c r="I101" s="20" t="n">
        <v>123</v>
      </c>
      <c r="J101" s="21" t="n">
        <f aca="false">SQRT(I101)</f>
        <v>11.0905365064094</v>
      </c>
      <c r="K101" s="22" t="n">
        <f aca="false">I101/$B101</f>
        <v>12.3</v>
      </c>
    </row>
    <row r="102" customFormat="false" ht="15" hidden="false" customHeight="false" outlineLevel="0" collapsed="false">
      <c r="A102" s="9" t="n">
        <v>94</v>
      </c>
      <c r="B102" s="19" t="n">
        <f aca="false">ThongTin!$C$25</f>
        <v>10</v>
      </c>
      <c r="C102" s="20" t="n">
        <v>6</v>
      </c>
      <c r="D102" s="21" t="n">
        <f aca="false">SQRT(C102)</f>
        <v>2.44948974278318</v>
      </c>
      <c r="E102" s="22" t="n">
        <f aca="false">C102/$B102</f>
        <v>0.6</v>
      </c>
      <c r="F102" s="20" t="n">
        <v>45</v>
      </c>
      <c r="G102" s="21" t="n">
        <f aca="false">SQRT(F102)</f>
        <v>6.70820393249937</v>
      </c>
      <c r="H102" s="22" t="n">
        <f aca="false">F102/$B102</f>
        <v>4.5</v>
      </c>
      <c r="I102" s="20" t="n">
        <v>84</v>
      </c>
      <c r="J102" s="21" t="n">
        <f aca="false">SQRT(I102)</f>
        <v>9.16515138991168</v>
      </c>
      <c r="K102" s="22" t="n">
        <f aca="false">I102/$B102</f>
        <v>8.4</v>
      </c>
    </row>
    <row r="103" customFormat="false" ht="15" hidden="false" customHeight="false" outlineLevel="0" collapsed="false">
      <c r="A103" s="9" t="n">
        <v>95</v>
      </c>
      <c r="B103" s="19" t="n">
        <f aca="false">ThongTin!$C$25</f>
        <v>10</v>
      </c>
      <c r="C103" s="20" t="n">
        <v>5</v>
      </c>
      <c r="D103" s="21" t="n">
        <f aca="false">SQRT(C103)</f>
        <v>2.23606797749979</v>
      </c>
      <c r="E103" s="22" t="n">
        <f aca="false">C103/$B103</f>
        <v>0.5</v>
      </c>
      <c r="F103" s="20" t="n">
        <v>51</v>
      </c>
      <c r="G103" s="21" t="n">
        <f aca="false">SQRT(F103)</f>
        <v>7.14142842854285</v>
      </c>
      <c r="H103" s="22" t="n">
        <f aca="false">F103/$B103</f>
        <v>5.1</v>
      </c>
      <c r="I103" s="20" t="n">
        <v>105</v>
      </c>
      <c r="J103" s="21" t="n">
        <f aca="false">SQRT(I103)</f>
        <v>10.2469507659596</v>
      </c>
      <c r="K103" s="22" t="n">
        <f aca="false">I103/$B103</f>
        <v>10.5</v>
      </c>
    </row>
    <row r="104" customFormat="false" ht="15" hidden="false" customHeight="false" outlineLevel="0" collapsed="false">
      <c r="A104" s="9" t="n">
        <v>96</v>
      </c>
      <c r="B104" s="19" t="n">
        <f aca="false">ThongTin!$C$25</f>
        <v>10</v>
      </c>
      <c r="C104" s="20" t="n">
        <v>6</v>
      </c>
      <c r="D104" s="21" t="n">
        <f aca="false">SQRT(C104)</f>
        <v>2.44948974278318</v>
      </c>
      <c r="E104" s="22" t="n">
        <f aca="false">C104/$B104</f>
        <v>0.6</v>
      </c>
      <c r="F104" s="20" t="n">
        <v>54</v>
      </c>
      <c r="G104" s="21" t="n">
        <f aca="false">SQRT(F104)</f>
        <v>7.34846922834953</v>
      </c>
      <c r="H104" s="22" t="n">
        <f aca="false">F104/$B104</f>
        <v>5.4</v>
      </c>
      <c r="I104" s="20" t="n">
        <v>115</v>
      </c>
      <c r="J104" s="21" t="n">
        <f aca="false">SQRT(I104)</f>
        <v>10.7238052947636</v>
      </c>
      <c r="K104" s="22" t="n">
        <f aca="false">I104/$B104</f>
        <v>11.5</v>
      </c>
    </row>
    <row r="105" customFormat="false" ht="15" hidden="false" customHeight="false" outlineLevel="0" collapsed="false">
      <c r="A105" s="9" t="n">
        <v>97</v>
      </c>
      <c r="B105" s="19" t="n">
        <f aca="false">ThongTin!$C$25</f>
        <v>10</v>
      </c>
      <c r="C105" s="20" t="n">
        <v>2</v>
      </c>
      <c r="D105" s="21" t="n">
        <f aca="false">SQRT(C105)</f>
        <v>1.4142135623731</v>
      </c>
      <c r="E105" s="22" t="n">
        <f aca="false">C105/$B105</f>
        <v>0.2</v>
      </c>
      <c r="F105" s="20" t="n">
        <v>49</v>
      </c>
      <c r="G105" s="21" t="n">
        <f aca="false">SQRT(F105)</f>
        <v>7</v>
      </c>
      <c r="H105" s="22" t="n">
        <f aca="false">F105/$B105</f>
        <v>4.9</v>
      </c>
      <c r="I105" s="20" t="n">
        <v>113</v>
      </c>
      <c r="J105" s="21" t="n">
        <f aca="false">SQRT(I105)</f>
        <v>10.6301458127347</v>
      </c>
      <c r="K105" s="22" t="n">
        <f aca="false">I105/$B105</f>
        <v>11.3</v>
      </c>
    </row>
    <row r="106" customFormat="false" ht="15" hidden="false" customHeight="false" outlineLevel="0" collapsed="false">
      <c r="A106" s="9" t="n">
        <v>98</v>
      </c>
      <c r="B106" s="19" t="n">
        <f aca="false">ThongTin!$C$25</f>
        <v>10</v>
      </c>
      <c r="C106" s="20" t="n">
        <v>1</v>
      </c>
      <c r="D106" s="21" t="n">
        <f aca="false">SQRT(C106)</f>
        <v>1</v>
      </c>
      <c r="E106" s="22" t="n">
        <f aca="false">C106/$B106</f>
        <v>0.1</v>
      </c>
      <c r="F106" s="20" t="n">
        <v>39</v>
      </c>
      <c r="G106" s="21" t="n">
        <f aca="false">SQRT(F106)</f>
        <v>6.2449979983984</v>
      </c>
      <c r="H106" s="22" t="n">
        <f aca="false">F106/$B106</f>
        <v>3.9</v>
      </c>
      <c r="I106" s="20" t="n">
        <v>117</v>
      </c>
      <c r="J106" s="21" t="n">
        <f aca="false">SQRT(I106)</f>
        <v>10.816653826392</v>
      </c>
      <c r="K106" s="22" t="n">
        <f aca="false">I106/$B106</f>
        <v>11.7</v>
      </c>
    </row>
    <row r="107" customFormat="false" ht="15" hidden="false" customHeight="false" outlineLevel="0" collapsed="false">
      <c r="A107" s="9" t="n">
        <v>99</v>
      </c>
      <c r="B107" s="19" t="n">
        <f aca="false">ThongTin!$C$25</f>
        <v>10</v>
      </c>
      <c r="C107" s="20" t="n">
        <v>6</v>
      </c>
      <c r="D107" s="21" t="n">
        <f aca="false">SQRT(C107)</f>
        <v>2.44948974278318</v>
      </c>
      <c r="E107" s="22" t="n">
        <f aca="false">C107/$B107</f>
        <v>0.6</v>
      </c>
      <c r="F107" s="20" t="n">
        <v>34</v>
      </c>
      <c r="G107" s="21" t="n">
        <f aca="false">SQRT(F107)</f>
        <v>5.8309518948453</v>
      </c>
      <c r="H107" s="22" t="n">
        <f aca="false">F107/$B107</f>
        <v>3.4</v>
      </c>
      <c r="I107" s="20" t="n">
        <v>112</v>
      </c>
      <c r="J107" s="21" t="n">
        <f aca="false">SQRT(I107)</f>
        <v>10.5830052442584</v>
      </c>
      <c r="K107" s="22" t="n">
        <f aca="false">I107/$B107</f>
        <v>11.2</v>
      </c>
    </row>
    <row r="108" customFormat="false" ht="15" hidden="false" customHeight="false" outlineLevel="0" collapsed="false">
      <c r="A108" s="9" t="n">
        <v>100</v>
      </c>
      <c r="B108" s="19" t="n">
        <f aca="false">ThongTin!$C$25</f>
        <v>10</v>
      </c>
      <c r="C108" s="20" t="n">
        <v>3</v>
      </c>
      <c r="D108" s="21" t="n">
        <f aca="false">SQRT(C108)</f>
        <v>1.73205080756888</v>
      </c>
      <c r="E108" s="22" t="n">
        <f aca="false">C108/$B108</f>
        <v>0.3</v>
      </c>
      <c r="F108" s="20" t="n">
        <v>35</v>
      </c>
      <c r="G108" s="21" t="n">
        <f aca="false">SQRT(F108)</f>
        <v>5.91607978309962</v>
      </c>
      <c r="H108" s="22" t="n">
        <f aca="false">F108/$B108</f>
        <v>3.5</v>
      </c>
      <c r="I108" s="20" t="n">
        <v>123</v>
      </c>
      <c r="J108" s="21" t="n">
        <f aca="false">SQRT(I108)</f>
        <v>11.0905365064094</v>
      </c>
      <c r="K108" s="22" t="n">
        <f aca="false">I108/$B108</f>
        <v>12.3</v>
      </c>
    </row>
    <row r="110" customFormat="false" ht="14.15" hidden="false" customHeight="true" outlineLevel="0" collapsed="false">
      <c r="A110" s="12" t="s">
        <v>98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customFormat="false" ht="15" hidden="false" customHeight="false" outlineLevel="0" collapsed="false">
      <c r="A111" s="9" t="s">
        <v>99</v>
      </c>
      <c r="B111" s="19" t="n">
        <f aca="false">ThongTin!$C$27</f>
        <v>100</v>
      </c>
      <c r="C111" s="20" t="n">
        <v>45</v>
      </c>
      <c r="D111" s="21" t="n">
        <f aca="false">SQRT(C111)</f>
        <v>6.70820393249937</v>
      </c>
      <c r="E111" s="22" t="n">
        <f aca="false">C111/$B111</f>
        <v>0.45</v>
      </c>
      <c r="F111" s="20" t="n">
        <v>437</v>
      </c>
      <c r="G111" s="21" t="n">
        <f aca="false">SQRT(F111)</f>
        <v>20.9045449603669</v>
      </c>
      <c r="H111" s="22" t="n">
        <f aca="false">F111/$B111</f>
        <v>4.37</v>
      </c>
      <c r="I111" s="20" t="n">
        <v>1085</v>
      </c>
      <c r="J111" s="21" t="n">
        <f aca="false">SQRT(I111)</f>
        <v>32.9393381840012</v>
      </c>
      <c r="K111" s="22" t="n">
        <f aca="false">I111/$B111</f>
        <v>10.85</v>
      </c>
    </row>
  </sheetData>
  <mergeCells count="10">
    <mergeCell ref="A1:K1"/>
    <mergeCell ref="A2:K2"/>
    <mergeCell ref="A3:K3"/>
    <mergeCell ref="A6:K6"/>
    <mergeCell ref="A7:A8"/>
    <mergeCell ref="B7:B8"/>
    <mergeCell ref="C7:E7"/>
    <mergeCell ref="F7:H7"/>
    <mergeCell ref="I7:K7"/>
    <mergeCell ref="A110:K110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100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45" hidden="false" customHeight="true" outlineLevel="0" collapsed="false">
      <c r="A5" s="13" t="s">
        <v>59</v>
      </c>
      <c r="B5" s="13" t="s">
        <v>101</v>
      </c>
      <c r="C5" s="23" t="s">
        <v>92</v>
      </c>
      <c r="D5" s="23" t="s">
        <v>93</v>
      </c>
      <c r="E5" s="23" t="s">
        <v>94</v>
      </c>
      <c r="F5" s="13" t="s">
        <v>102</v>
      </c>
    </row>
    <row r="6" customFormat="false" ht="15" hidden="false" customHeight="true" outlineLevel="0" collapsed="false">
      <c r="A6" s="8" t="s">
        <v>103</v>
      </c>
      <c r="B6" s="8"/>
      <c r="C6" s="8"/>
      <c r="D6" s="8"/>
      <c r="E6" s="8"/>
      <c r="F6" s="8"/>
    </row>
    <row r="7" customFormat="false" ht="15" hidden="false" customHeight="false" outlineLevel="0" collapsed="false">
      <c r="A7" s="9" t="n">
        <v>1</v>
      </c>
      <c r="B7" s="10" t="s">
        <v>104</v>
      </c>
      <c r="C7" s="24" t="n">
        <f aca="false">COUNT(SoLieuTho!$C$9:$C$108)</f>
        <v>100</v>
      </c>
      <c r="D7" s="24" t="n">
        <f aca="false">COUNT(SoLieuTho!$F$9:$F$108)</f>
        <v>100</v>
      </c>
      <c r="E7" s="24" t="n">
        <f aca="false">COUNT(SoLieuTho!$I$9:$I$108)</f>
        <v>100</v>
      </c>
      <c r="F7" s="25" t="s">
        <v>105</v>
      </c>
    </row>
    <row r="8" customFormat="false" ht="15" hidden="false" customHeight="false" outlineLevel="0" collapsed="false">
      <c r="A8" s="9" t="n">
        <v>2</v>
      </c>
      <c r="B8" s="10" t="s">
        <v>106</v>
      </c>
      <c r="C8" s="26" t="n">
        <f aca="false">ThongTin!$C$25</f>
        <v>10</v>
      </c>
      <c r="D8" s="26" t="n">
        <f aca="false">ThongTin!$C$25</f>
        <v>10</v>
      </c>
      <c r="E8" s="26" t="n">
        <f aca="false">ThongTin!$C$25</f>
        <v>10</v>
      </c>
      <c r="F8" s="25" t="s">
        <v>107</v>
      </c>
    </row>
    <row r="9" customFormat="false" ht="15" hidden="false" customHeight="false" outlineLevel="0" collapsed="false">
      <c r="A9" s="9" t="n">
        <v>3</v>
      </c>
      <c r="B9" s="10" t="s">
        <v>108</v>
      </c>
      <c r="C9" s="24" t="n">
        <f aca="false">SUM(SoLieuTho!$C$9:$C$108)</f>
        <v>552</v>
      </c>
      <c r="D9" s="24" t="n">
        <f aca="false">SUM(SoLieuTho!$F$9:$F$108)</f>
        <v>4122</v>
      </c>
      <c r="E9" s="24" t="n">
        <f aca="false">SUM(SoLieuTho!$I$9:$I$108)</f>
        <v>11219</v>
      </c>
      <c r="F9" s="25" t="s">
        <v>109</v>
      </c>
    </row>
    <row r="10" customFormat="false" ht="15" hidden="false" customHeight="false" outlineLevel="0" collapsed="false">
      <c r="A10" s="9" t="n">
        <v>4</v>
      </c>
      <c r="B10" s="10" t="s">
        <v>110</v>
      </c>
      <c r="C10" s="27" t="n">
        <f aca="false">AVERAGE(SoLieuTho!$C$9:$C$108)</f>
        <v>5.52</v>
      </c>
      <c r="D10" s="27" t="n">
        <f aca="false">AVERAGE(SoLieuTho!$F$9:$F$108)</f>
        <v>41.22</v>
      </c>
      <c r="E10" s="27" t="n">
        <f aca="false">AVERAGE(SoLieuTho!$I$9:$I$108)</f>
        <v>112.19</v>
      </c>
      <c r="F10" s="25" t="s">
        <v>111</v>
      </c>
    </row>
    <row r="11" customFormat="false" ht="15" hidden="false" customHeight="false" outlineLevel="0" collapsed="false">
      <c r="A11" s="9" t="n">
        <v>5</v>
      </c>
      <c r="B11" s="10" t="s">
        <v>112</v>
      </c>
      <c r="C11" s="27" t="n">
        <f aca="false">STDEV(SoLieuTho!$C$9:$C$108)</f>
        <v>2.46379849628638</v>
      </c>
      <c r="D11" s="27" t="n">
        <f aca="false">STDEV(SoLieuTho!$F$9:$F$108)</f>
        <v>7.03753285511824</v>
      </c>
      <c r="E11" s="27" t="n">
        <f aca="false">STDEV(SoLieuTho!$I$9:$I$108)</f>
        <v>11.34820325742</v>
      </c>
      <c r="F11" s="25" t="s">
        <v>113</v>
      </c>
    </row>
    <row r="12" customFormat="false" ht="15" hidden="false" customHeight="false" outlineLevel="0" collapsed="false">
      <c r="A12" s="9" t="n">
        <v>6</v>
      </c>
      <c r="B12" s="10" t="s">
        <v>114</v>
      </c>
      <c r="C12" s="21" t="n">
        <f aca="false">VAR(SoLieuTho!$C$9:$C$108)</f>
        <v>6.07030303030303</v>
      </c>
      <c r="D12" s="21" t="n">
        <f aca="false">VAR(SoLieuTho!$F$9:$F$108)</f>
        <v>49.5268686868687</v>
      </c>
      <c r="E12" s="21" t="n">
        <f aca="false">VAR(SoLieuTho!$I$9:$I$108)</f>
        <v>128.781717171717</v>
      </c>
      <c r="F12" s="25" t="s">
        <v>115</v>
      </c>
    </row>
    <row r="13" customFormat="false" ht="15" hidden="false" customHeight="false" outlineLevel="0" collapsed="false">
      <c r="A13" s="9" t="n">
        <v>7</v>
      </c>
      <c r="B13" s="10" t="s">
        <v>116</v>
      </c>
      <c r="C13" s="21" t="n">
        <f aca="false">C11/SQRT(C7)</f>
        <v>0.246379849628638</v>
      </c>
      <c r="D13" s="21" t="n">
        <f aca="false">D11/SQRT(D7)</f>
        <v>0.703753285511824</v>
      </c>
      <c r="E13" s="21" t="n">
        <f aca="false">E11/SQRT(E7)</f>
        <v>1.134820325742</v>
      </c>
      <c r="F13" s="25" t="s">
        <v>117</v>
      </c>
    </row>
    <row r="14" customFormat="false" ht="15" hidden="false" customHeight="false" outlineLevel="0" collapsed="false">
      <c r="A14" s="9" t="n">
        <v>8</v>
      </c>
      <c r="B14" s="10" t="s">
        <v>118</v>
      </c>
      <c r="C14" s="21" t="n">
        <f aca="false">SQRT(C10)</f>
        <v>2.34946802489415</v>
      </c>
      <c r="D14" s="21" t="n">
        <f aca="false">SQRT(D10)</f>
        <v>6.42028036770981</v>
      </c>
      <c r="E14" s="21" t="n">
        <f aca="false">SQRT(E10)</f>
        <v>10.5919780966541</v>
      </c>
      <c r="F14" s="25" t="s">
        <v>119</v>
      </c>
    </row>
    <row r="15" customFormat="false" ht="15" hidden="false" customHeight="false" outlineLevel="0" collapsed="false">
      <c r="A15" s="9" t="n">
        <v>9</v>
      </c>
      <c r="B15" s="10" t="s">
        <v>120</v>
      </c>
      <c r="C15" s="22" t="n">
        <f aca="false">C11/C14</f>
        <v>1.04866228021868</v>
      </c>
      <c r="D15" s="22" t="n">
        <f aca="false">D11/D14</f>
        <v>1.09614104868579</v>
      </c>
      <c r="E15" s="22" t="n">
        <f aca="false">E11/E14</f>
        <v>1.07139602762252</v>
      </c>
      <c r="F15" s="25" t="s">
        <v>121</v>
      </c>
    </row>
    <row r="16" customFormat="false" ht="15" hidden="false" customHeight="false" outlineLevel="0" collapsed="false">
      <c r="A16" s="9" t="n">
        <v>10</v>
      </c>
      <c r="B16" s="10" t="s">
        <v>122</v>
      </c>
      <c r="C16" s="22" t="n">
        <f aca="false">C12/C10</f>
        <v>1.09969257795345</v>
      </c>
      <c r="D16" s="22" t="n">
        <f aca="false">D12/D10</f>
        <v>1.20152519861399</v>
      </c>
      <c r="E16" s="22" t="n">
        <f aca="false">E12/E10</f>
        <v>1.14788944800532</v>
      </c>
      <c r="F16" s="25" t="s">
        <v>123</v>
      </c>
    </row>
    <row r="17" customFormat="false" ht="15" hidden="false" customHeight="false" outlineLevel="0" collapsed="false">
      <c r="A17" s="9" t="n">
        <v>11</v>
      </c>
      <c r="B17" s="10" t="s">
        <v>124</v>
      </c>
      <c r="C17" s="21" t="n">
        <f aca="false">(C7-1)*C16</f>
        <v>108.869565217391</v>
      </c>
      <c r="D17" s="21" t="n">
        <f aca="false">(D7-1)*D16</f>
        <v>118.950994662785</v>
      </c>
      <c r="E17" s="21" t="n">
        <f aca="false">(E7-1)*E16</f>
        <v>113.641055352527</v>
      </c>
      <c r="F17" s="25" t="s">
        <v>125</v>
      </c>
    </row>
    <row r="18" customFormat="false" ht="15" hidden="false" customHeight="false" outlineLevel="0" collapsed="false">
      <c r="A18" s="9" t="n">
        <v>12</v>
      </c>
      <c r="B18" s="10" t="s">
        <v>126</v>
      </c>
      <c r="C18" s="22" t="n">
        <f aca="false">2*MIN(CHIDIST(C17,C7-1),1-CHIDIST(C17,C7-1))</f>
        <v>0.467606392320491</v>
      </c>
      <c r="D18" s="22" t="n">
        <f aca="false">2*MIN(CHIDIST(D17,D7-1),1-CHIDIST(D17,D7-1))</f>
        <v>0.167864504679857</v>
      </c>
      <c r="E18" s="22" t="n">
        <f aca="false">2*MIN(CHIDIST(E17,E7-1),1-CHIDIST(E17,E7-1))</f>
        <v>0.298311688451079</v>
      </c>
      <c r="F18" s="25" t="s">
        <v>127</v>
      </c>
    </row>
    <row r="19" customFormat="false" ht="26.85" hidden="false" customHeight="false" outlineLevel="0" collapsed="false">
      <c r="A19" s="9" t="n">
        <v>13</v>
      </c>
      <c r="B19" s="10" t="s">
        <v>128</v>
      </c>
      <c r="C19" s="28" t="str">
        <f aca="false">IF(C18&gt;0.05,"Phù hợp Poisson","Không phù hợp")</f>
        <v>Phù hợp Poisson</v>
      </c>
      <c r="D19" s="28" t="str">
        <f aca="false">IF(D18&gt;0.05,"Phù hợp Poisson","Không phù hợp")</f>
        <v>Phù hợp Poisson</v>
      </c>
      <c r="E19" s="28" t="str">
        <f aca="false">IF(E18&gt;0.05,"Phù hợp Poisson","Không phù hợp")</f>
        <v>Phù hợp Poisson</v>
      </c>
      <c r="F19" s="25"/>
    </row>
    <row r="20" customFormat="false" ht="15" hidden="false" customHeight="false" outlineLevel="0" collapsed="false">
      <c r="A20" s="9" t="n">
        <v>14</v>
      </c>
      <c r="B20" s="10" t="s">
        <v>129</v>
      </c>
      <c r="C20" s="29" t="n">
        <f aca="false">C10/C8</f>
        <v>0.552</v>
      </c>
      <c r="D20" s="29" t="n">
        <f aca="false">D10/D8</f>
        <v>4.122</v>
      </c>
      <c r="E20" s="29" t="n">
        <f aca="false">E10/E8</f>
        <v>11.219</v>
      </c>
      <c r="F20" s="25"/>
    </row>
    <row r="21" customFormat="false" ht="15" hidden="false" customHeight="false" outlineLevel="0" collapsed="false">
      <c r="A21" s="9" t="n">
        <v>15</v>
      </c>
      <c r="B21" s="10" t="s">
        <v>130</v>
      </c>
      <c r="C21" s="22" t="n">
        <f aca="false">C13/C8</f>
        <v>0.0246379849628638</v>
      </c>
      <c r="D21" s="22" t="n">
        <f aca="false">D13/D8</f>
        <v>0.0703753285511824</v>
      </c>
      <c r="E21" s="22" t="n">
        <f aca="false">E13/E8</f>
        <v>0.1134820325742</v>
      </c>
      <c r="F21" s="25" t="s">
        <v>131</v>
      </c>
    </row>
    <row r="22" customFormat="false" ht="15" hidden="false" customHeight="true" outlineLevel="0" collapsed="false">
      <c r="A22" s="8" t="s">
        <v>132</v>
      </c>
      <c r="B22" s="8"/>
      <c r="C22" s="8"/>
      <c r="D22" s="8"/>
      <c r="E22" s="8"/>
      <c r="F22" s="8"/>
    </row>
    <row r="23" customFormat="false" ht="15" hidden="false" customHeight="false" outlineLevel="0" collapsed="false">
      <c r="A23" s="9" t="n">
        <v>16</v>
      </c>
      <c r="B23" s="10" t="s">
        <v>133</v>
      </c>
      <c r="C23" s="24" t="n">
        <f aca="false">SoLieuTho!$C$111</f>
        <v>45</v>
      </c>
      <c r="D23" s="24" t="n">
        <f aca="false">SoLieuTho!$F$111</f>
        <v>437</v>
      </c>
      <c r="E23" s="24" t="n">
        <f aca="false">SoLieuTho!$I$111</f>
        <v>1085</v>
      </c>
      <c r="F23" s="25" t="s">
        <v>134</v>
      </c>
    </row>
    <row r="24" customFormat="false" ht="15" hidden="false" customHeight="false" outlineLevel="0" collapsed="false">
      <c r="A24" s="9" t="n">
        <v>17</v>
      </c>
      <c r="B24" s="10" t="s">
        <v>135</v>
      </c>
      <c r="C24" s="21" t="n">
        <f aca="false">C23*C8/SoLieuTho!$B$111</f>
        <v>4.5</v>
      </c>
      <c r="D24" s="21" t="n">
        <f aca="false">D23*D8/SoLieuTho!$B$111</f>
        <v>43.7</v>
      </c>
      <c r="E24" s="21" t="n">
        <f aca="false">E23*E8/SoLieuTho!$B$111</f>
        <v>108.5</v>
      </c>
      <c r="F24" s="25"/>
    </row>
    <row r="25" customFormat="false" ht="15" hidden="false" customHeight="false" outlineLevel="0" collapsed="false">
      <c r="A25" s="9" t="n">
        <v>18</v>
      </c>
      <c r="B25" s="10" t="s">
        <v>136</v>
      </c>
      <c r="C25" s="21" t="n">
        <f aca="false">SQRT(C23)*C8/SoLieuTho!$B$111</f>
        <v>0.670820393249937</v>
      </c>
      <c r="D25" s="21" t="n">
        <f aca="false">SQRT(D23)*D8/SoLieuTho!$B$111</f>
        <v>2.09045449603669</v>
      </c>
      <c r="E25" s="21" t="n">
        <f aca="false">SQRT(E23)*E8/SoLieuTho!$B$111</f>
        <v>3.29393381840012</v>
      </c>
      <c r="F25" s="25"/>
    </row>
    <row r="26" customFormat="false" ht="26.85" hidden="false" customHeight="false" outlineLevel="0" collapsed="false">
      <c r="A26" s="9" t="n">
        <v>19</v>
      </c>
      <c r="B26" s="10" t="s">
        <v>137</v>
      </c>
      <c r="C26" s="21" t="n">
        <f aca="false">SQRT(C24)</f>
        <v>2.12132034355964</v>
      </c>
      <c r="D26" s="21" t="n">
        <f aca="false">SQRT(D24)</f>
        <v>6.61059755241536</v>
      </c>
      <c r="E26" s="21" t="n">
        <f aca="false">SQRT(E24)</f>
        <v>10.4163333279998</v>
      </c>
      <c r="F26" s="25" t="s">
        <v>138</v>
      </c>
    </row>
    <row r="27" customFormat="false" ht="15" hidden="false" customHeight="false" outlineLevel="0" collapsed="false">
      <c r="A27" s="9" t="n">
        <v>20</v>
      </c>
      <c r="B27" s="10" t="s">
        <v>139</v>
      </c>
      <c r="C27" s="21" t="n">
        <f aca="false">C24-C10</f>
        <v>-1.02</v>
      </c>
      <c r="D27" s="21" t="n">
        <f aca="false">D24-D10</f>
        <v>2.48</v>
      </c>
      <c r="E27" s="21" t="n">
        <f aca="false">E24-E10</f>
        <v>-3.69</v>
      </c>
      <c r="F27" s="25"/>
    </row>
    <row r="28" customFormat="false" ht="15" hidden="false" customHeight="false" outlineLevel="0" collapsed="false">
      <c r="A28" s="9" t="n">
        <v>21</v>
      </c>
      <c r="B28" s="10" t="s">
        <v>140</v>
      </c>
      <c r="C28" s="21" t="n">
        <f aca="false">SQRT(C25^2+C13^2)</f>
        <v>0.714634893006933</v>
      </c>
      <c r="D28" s="21" t="n">
        <f aca="false">SQRT(D25^2+D13^2)</f>
        <v>2.2057354072664</v>
      </c>
      <c r="E28" s="21" t="n">
        <f aca="false">SQRT(E25^2+E13^2)</f>
        <v>3.48393702177826</v>
      </c>
      <c r="F28" s="25"/>
    </row>
    <row r="29" customFormat="false" ht="15" hidden="false" customHeight="false" outlineLevel="0" collapsed="false">
      <c r="A29" s="9" t="n">
        <v>22</v>
      </c>
      <c r="B29" s="10" t="s">
        <v>141</v>
      </c>
      <c r="C29" s="27" t="n">
        <f aca="false">C27/C28</f>
        <v>-1.42730226298942</v>
      </c>
      <c r="D29" s="27" t="n">
        <f aca="false">D27/D28</f>
        <v>1.12434156509892</v>
      </c>
      <c r="E29" s="27" t="n">
        <f aca="false">E27/E28</f>
        <v>-1.05914658529521</v>
      </c>
      <c r="F29" s="25" t="s">
        <v>142</v>
      </c>
    </row>
    <row r="30" customFormat="false" ht="15" hidden="false" customHeight="false" outlineLevel="0" collapsed="false">
      <c r="A30" s="9" t="n">
        <v>23</v>
      </c>
      <c r="B30" s="10" t="s">
        <v>143</v>
      </c>
      <c r="C30" s="28" t="str">
        <f aca="false">IF(ABS(C29)&lt;=2,"Phù hợp (|z| ≤ 2)","Không phù hợp")</f>
        <v>Phù hợp (|z| ≤ 2)</v>
      </c>
      <c r="D30" s="28" t="str">
        <f aca="false">IF(ABS(D29)&lt;=2,"Phù hợp (|z| ≤ 2)","Không phù hợp")</f>
        <v>Phù hợp (|z| ≤ 2)</v>
      </c>
      <c r="E30" s="28" t="str">
        <f aca="false">IF(ABS(E29)&lt;=2,"Phù hợp (|z| ≤ 2)","Không phù hợp")</f>
        <v>Phù hợp (|z| ≤ 2)</v>
      </c>
      <c r="F30" s="25"/>
    </row>
    <row r="31" customFormat="false" ht="15" hidden="false" customHeight="true" outlineLevel="0" collapsed="false">
      <c r="A31" s="8" t="s">
        <v>144</v>
      </c>
      <c r="B31" s="8"/>
      <c r="C31" s="8"/>
      <c r="D31" s="8"/>
      <c r="E31" s="8"/>
      <c r="F31" s="8"/>
    </row>
    <row r="32" customFormat="false" ht="15" hidden="false" customHeight="false" outlineLevel="0" collapsed="false">
      <c r="A32" s="9" t="n">
        <v>24</v>
      </c>
      <c r="B32" s="10" t="s">
        <v>145</v>
      </c>
      <c r="C32" s="24" t="n">
        <f aca="false">MAX(SoLieuTho!$C$9:$C$108)</f>
        <v>12</v>
      </c>
      <c r="D32" s="24" t="n">
        <f aca="false">MAX(SoLieuTho!$F$9:$F$108)</f>
        <v>58</v>
      </c>
      <c r="E32" s="24" t="n">
        <f aca="false">MAX(SoLieuTho!$I$9:$I$108)</f>
        <v>139</v>
      </c>
      <c r="F32" s="25"/>
    </row>
    <row r="33" customFormat="false" ht="15" hidden="false" customHeight="false" outlineLevel="0" collapsed="false">
      <c r="A33" s="9" t="n">
        <v>25</v>
      </c>
      <c r="B33" s="10" t="s">
        <v>146</v>
      </c>
      <c r="C33" s="24" t="n">
        <f aca="false">MIN(SoLieuTho!$C$9:$C$108)</f>
        <v>1</v>
      </c>
      <c r="D33" s="24" t="n">
        <f aca="false">MIN(SoLieuTho!$F$9:$F$108)</f>
        <v>26</v>
      </c>
      <c r="E33" s="24" t="n">
        <f aca="false">MIN(SoLieuTho!$I$9:$I$108)</f>
        <v>81</v>
      </c>
      <c r="F33" s="25"/>
    </row>
    <row r="34" customFormat="false" ht="15" hidden="false" customHeight="false" outlineLevel="0" collapsed="false">
      <c r="A34" s="9" t="n">
        <v>26</v>
      </c>
      <c r="B34" s="10" t="s">
        <v>147</v>
      </c>
      <c r="C34" s="21" t="n">
        <f aca="false">IF(C32-C10&gt;=C10-C33,C32-C10,C33-C10)</f>
        <v>6.48</v>
      </c>
      <c r="D34" s="21" t="n">
        <f aca="false">IF(D32-D10&gt;=D10-D33,D32-D10,D33-D10)</f>
        <v>16.78</v>
      </c>
      <c r="E34" s="21" t="n">
        <f aca="false">IF(E32-E10&gt;=E10-E33,E32-E10,E33-E10)</f>
        <v>-31.19</v>
      </c>
      <c r="F34" s="25"/>
    </row>
    <row r="35" customFormat="false" ht="15" hidden="false" customHeight="false" outlineLevel="0" collapsed="false">
      <c r="A35" s="9" t="n">
        <v>27</v>
      </c>
      <c r="B35" s="10" t="s">
        <v>148</v>
      </c>
      <c r="C35" s="21" t="n">
        <f aca="false">ABS(C34)/C14</f>
        <v>2.75807115965835</v>
      </c>
      <c r="D35" s="21" t="n">
        <f aca="false">ABS(D34)/D14</f>
        <v>2.61359302693281</v>
      </c>
      <c r="E35" s="21" t="n">
        <f aca="false">ABS(E34)/E14</f>
        <v>2.94468131593405</v>
      </c>
      <c r="F35" s="25"/>
    </row>
    <row r="36" customFormat="false" ht="26.85" hidden="false" customHeight="false" outlineLevel="0" collapsed="false">
      <c r="A36" s="9" t="n">
        <v>28</v>
      </c>
      <c r="B36" s="10" t="s">
        <v>149</v>
      </c>
      <c r="C36" s="30" t="n">
        <f aca="false">IF(C34&gt;=0,1-POISSON(C32-1,C10,TRUE()),POISSON(C33,C10,TRUE()))</f>
        <v>0.0112762679760786</v>
      </c>
      <c r="D36" s="30" t="n">
        <f aca="false">IF(D34&gt;=0,1-POISSON(D32-1,D10,TRUE()),POISSON(D33,D10,TRUE()))</f>
        <v>0.00784610203824521</v>
      </c>
      <c r="E36" s="30" t="n">
        <f aca="false">IF(E34&gt;=0,1-POISSON(E32-1,E10,TRUE()),POISSON(E33,E10,TRUE()))</f>
        <v>0.0012194230632703</v>
      </c>
      <c r="F36" s="25" t="s">
        <v>150</v>
      </c>
    </row>
    <row r="37" customFormat="false" ht="15" hidden="false" customHeight="false" outlineLevel="0" collapsed="false">
      <c r="A37" s="9" t="n">
        <v>29</v>
      </c>
      <c r="B37" s="10" t="s">
        <v>151</v>
      </c>
      <c r="C37" s="22" t="n">
        <f aca="false">1-(1-C36)^C7</f>
        <v>0.678266820048546</v>
      </c>
      <c r="D37" s="22" t="n">
        <f aca="false">1-(1-D36)^D7</f>
        <v>0.5451121916877</v>
      </c>
      <c r="E37" s="22" t="n">
        <f aca="false">1-(1-E36)^E7</f>
        <v>0.114866427916711</v>
      </c>
      <c r="F37" s="25" t="s">
        <v>152</v>
      </c>
    </row>
    <row r="38" customFormat="false" ht="15" hidden="false" customHeight="false" outlineLevel="0" collapsed="false">
      <c r="A38" s="9" t="n">
        <v>30</v>
      </c>
      <c r="B38" s="10" t="s">
        <v>153</v>
      </c>
      <c r="C38" s="21" t="n">
        <f aca="false">C7*C36</f>
        <v>1.12762679760786</v>
      </c>
      <c r="D38" s="21" t="n">
        <f aca="false">D7*D36</f>
        <v>0.784610203824521</v>
      </c>
      <c r="E38" s="21" t="n">
        <f aca="false">E7*E36</f>
        <v>0.12194230632703</v>
      </c>
      <c r="F38" s="25"/>
    </row>
    <row r="39" customFormat="false" ht="26.85" hidden="false" customHeight="false" outlineLevel="0" collapsed="false">
      <c r="A39" s="9" t="n">
        <v>31</v>
      </c>
      <c r="B39" s="10" t="s">
        <v>154</v>
      </c>
      <c r="C39" s="28" t="str">
        <f aca="false">IF(C37&gt;0.05,"Hoạt động bình thường","Cần kiểm tra")</f>
        <v>Hoạt động bình thường</v>
      </c>
      <c r="D39" s="28" t="str">
        <f aca="false">IF(D37&gt;0.05,"Hoạt động bình thường","Cần kiểm tra")</f>
        <v>Hoạt động bình thường</v>
      </c>
      <c r="E39" s="28" t="str">
        <f aca="false">IF(E37&gt;0.05,"Hoạt động bình thường","Cần kiểm tra")</f>
        <v>Hoạt động bình thường</v>
      </c>
      <c r="F39" s="25" t="s">
        <v>155</v>
      </c>
    </row>
    <row r="40" customFormat="false" ht="15" hidden="false" customHeight="true" outlineLevel="0" collapsed="false">
      <c r="A40" s="12" t="s">
        <v>156</v>
      </c>
      <c r="B40" s="12"/>
      <c r="C40" s="12"/>
      <c r="D40" s="12"/>
      <c r="E40" s="12"/>
      <c r="F40" s="12"/>
    </row>
    <row r="41" customFormat="false" ht="15" hidden="false" customHeight="false" outlineLevel="0" collapsed="false">
      <c r="A41" s="9" t="n">
        <v>32</v>
      </c>
      <c r="B41" s="10" t="s">
        <v>157</v>
      </c>
      <c r="C41" s="31" t="n">
        <f aca="false">TanSuat!$F$26</f>
        <v>28.2520436749646</v>
      </c>
      <c r="D41" s="31" t="n">
        <f aca="false">TanSuat!$M$54</f>
        <v>43.091910542738</v>
      </c>
      <c r="E41" s="31" t="n">
        <f aca="false">TanSuat!$T$85</f>
        <v>34.111203549906</v>
      </c>
      <c r="F41" s="25" t="s">
        <v>158</v>
      </c>
    </row>
    <row r="42" customFormat="false" ht="15" hidden="false" customHeight="false" outlineLevel="0" collapsed="false">
      <c r="A42" s="9" t="n">
        <v>33</v>
      </c>
      <c r="B42" s="10" t="s">
        <v>159</v>
      </c>
      <c r="C42" s="31" t="n">
        <f aca="false">TanSuat!$G$26</f>
        <v>35.5478237618148</v>
      </c>
      <c r="D42" s="31" t="n">
        <f aca="false">TanSuat!$N$54</f>
        <v>44.562951169926</v>
      </c>
      <c r="E42" s="31" t="n">
        <f aca="false">TanSuat!$U$85</f>
        <v>33.4484376938769</v>
      </c>
      <c r="F42" s="25" t="s">
        <v>160</v>
      </c>
    </row>
    <row r="43" customFormat="false" ht="15" hidden="false" customHeight="false" outlineLevel="0" collapsed="false">
      <c r="A43" s="9" t="n">
        <v>34</v>
      </c>
      <c r="B43" s="10" t="s">
        <v>161</v>
      </c>
      <c r="C43" s="26" t="n">
        <f aca="false">TanSuat!$B$27</f>
        <v>11</v>
      </c>
      <c r="D43" s="26" t="n">
        <f aca="false">TanSuat!$I$55</f>
        <v>28</v>
      </c>
      <c r="E43" s="26" t="n">
        <f aca="false">TanSuat!$P$86</f>
        <v>41</v>
      </c>
      <c r="F43" s="25"/>
    </row>
    <row r="44" customFormat="false" ht="15" hidden="false" customHeight="false" outlineLevel="0" collapsed="false">
      <c r="A44" s="9" t="n">
        <v>35</v>
      </c>
      <c r="B44" s="10" t="s">
        <v>162</v>
      </c>
      <c r="C44" s="24" t="n">
        <f aca="false">C43-1</f>
        <v>10</v>
      </c>
      <c r="D44" s="24" t="n">
        <f aca="false">D43-1</f>
        <v>27</v>
      </c>
      <c r="E44" s="24" t="n">
        <f aca="false">E43-1</f>
        <v>40</v>
      </c>
      <c r="F44" s="25" t="s">
        <v>163</v>
      </c>
    </row>
    <row r="45" customFormat="false" ht="15" hidden="false" customHeight="false" outlineLevel="0" collapsed="false">
      <c r="A45" s="9" t="n">
        <v>36</v>
      </c>
      <c r="B45" s="10" t="s">
        <v>164</v>
      </c>
      <c r="C45" s="21" t="n">
        <f aca="false">C41/C44</f>
        <v>2.82520436749646</v>
      </c>
      <c r="D45" s="21" t="n">
        <f aca="false">D41/D44</f>
        <v>1.59599668676807</v>
      </c>
      <c r="E45" s="21" t="n">
        <f aca="false">E41/E44</f>
        <v>0.85278008874765</v>
      </c>
      <c r="F45" s="25"/>
    </row>
    <row r="46" customFormat="false" ht="15" hidden="false" customHeight="false" outlineLevel="0" collapsed="false">
      <c r="A46" s="9" t="n">
        <v>37</v>
      </c>
      <c r="B46" s="10" t="s">
        <v>165</v>
      </c>
      <c r="C46" s="21" t="n">
        <f aca="false">C42/C44</f>
        <v>3.55478237618148</v>
      </c>
      <c r="D46" s="21" t="n">
        <f aca="false">D42/D44</f>
        <v>1.65047967296022</v>
      </c>
      <c r="E46" s="21" t="n">
        <f aca="false">E42/E44</f>
        <v>0.836210942346923</v>
      </c>
      <c r="F46" s="25"/>
    </row>
    <row r="47" customFormat="false" ht="15" hidden="false" customHeight="false" outlineLevel="0" collapsed="false">
      <c r="A47" s="9" t="n">
        <v>38</v>
      </c>
      <c r="B47" s="10" t="s">
        <v>166</v>
      </c>
      <c r="C47" s="22" t="n">
        <f aca="false">CHIDIST(C41,C44)</f>
        <v>0.00164485005190936</v>
      </c>
      <c r="D47" s="22" t="n">
        <f aca="false">CHIDIST(D41,D44)</f>
        <v>0.0256054721830378</v>
      </c>
      <c r="E47" s="22" t="n">
        <f aca="false">CHIDIST(E41,E44)</f>
        <v>0.731783098975999</v>
      </c>
      <c r="F47" s="25" t="s">
        <v>167</v>
      </c>
    </row>
    <row r="48" customFormat="false" ht="15" hidden="false" customHeight="false" outlineLevel="0" collapsed="false">
      <c r="A48" s="9" t="n">
        <v>39</v>
      </c>
      <c r="B48" s="10" t="s">
        <v>168</v>
      </c>
      <c r="C48" s="22" t="n">
        <f aca="false">CHIDIST(C42,C44)</f>
        <v>0.000100640721216613</v>
      </c>
      <c r="D48" s="22" t="n">
        <f aca="false">CHIDIST(D42,D44)</f>
        <v>0.0180727040081912</v>
      </c>
      <c r="E48" s="22" t="n">
        <f aca="false">CHIDIST(E42,E44)</f>
        <v>0.758381704229967</v>
      </c>
      <c r="F48" s="25"/>
    </row>
    <row r="49" customFormat="false" ht="15" hidden="false" customHeight="false" outlineLevel="0" collapsed="false">
      <c r="A49" s="9" t="n">
        <v>40</v>
      </c>
      <c r="B49" s="10" t="s">
        <v>169</v>
      </c>
      <c r="C49" s="28" t="str">
        <f aca="false">IF(C41&lt;=C42,"Poisson","Gauss")</f>
        <v>Poisson</v>
      </c>
      <c r="D49" s="28" t="str">
        <f aca="false">IF(D41&lt;=D42,"Poisson","Gauss")</f>
        <v>Poisson</v>
      </c>
      <c r="E49" s="28" t="str">
        <f aca="false">IF(E41&lt;=E42,"Poisson","Gauss")</f>
        <v>Gauss</v>
      </c>
      <c r="F49" s="25"/>
    </row>
  </sheetData>
  <mergeCells count="7">
    <mergeCell ref="A1:F1"/>
    <mergeCell ref="A2:F2"/>
    <mergeCell ref="A3:F3"/>
    <mergeCell ref="A6:F6"/>
    <mergeCell ref="A22:F22"/>
    <mergeCell ref="A31:F31"/>
    <mergeCell ref="A40:F40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7"/>
    <col collapsed="false" customWidth="true" hidden="false" outlineLevel="0" max="7" min="4" style="0" width="10"/>
    <col collapsed="false" customWidth="true" hidden="false" outlineLevel="0" max="9" min="8" style="0" width="6"/>
    <col collapsed="false" customWidth="true" hidden="false" outlineLevel="0" max="10" min="10" style="0" width="7"/>
    <col collapsed="false" customWidth="true" hidden="false" outlineLevel="0" max="14" min="11" style="0" width="10"/>
    <col collapsed="false" customWidth="true" hidden="false" outlineLevel="0" max="16" min="15" style="0" width="6"/>
    <col collapsed="false" customWidth="true" hidden="false" outlineLevel="0" max="17" min="17" style="0" width="7"/>
    <col collapsed="false" customWidth="true" hidden="false" outlineLevel="0" max="21" min="18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true" outlineLevel="0" collapsed="false">
      <c r="A4" s="16" t="s">
        <v>171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6" customFormat="false" ht="15" hidden="false" customHeight="true" outlineLevel="0" collapsed="false">
      <c r="A6" s="32" t="s">
        <v>92</v>
      </c>
      <c r="B6" s="32"/>
      <c r="C6" s="32"/>
      <c r="D6" s="32"/>
      <c r="E6" s="32"/>
      <c r="F6" s="32"/>
      <c r="G6" s="32"/>
      <c r="H6" s="32" t="s">
        <v>93</v>
      </c>
      <c r="I6" s="32"/>
      <c r="J6" s="32"/>
      <c r="K6" s="32"/>
      <c r="L6" s="32"/>
      <c r="M6" s="32"/>
      <c r="N6" s="32"/>
      <c r="O6" s="32" t="s">
        <v>94</v>
      </c>
      <c r="P6" s="32"/>
      <c r="Q6" s="32"/>
      <c r="R6" s="32"/>
      <c r="S6" s="32"/>
      <c r="T6" s="32"/>
      <c r="U6" s="32"/>
    </row>
    <row r="7" customFormat="false" ht="15" hidden="false" customHeight="false" outlineLevel="0" collapsed="false">
      <c r="A7" s="33" t="s">
        <v>172</v>
      </c>
      <c r="B7" s="34" t="n">
        <f aca="false">ThongKe!$C$10</f>
        <v>5.52</v>
      </c>
      <c r="C7" s="34"/>
      <c r="D7" s="33" t="s">
        <v>173</v>
      </c>
      <c r="E7" s="24" t="n">
        <f aca="false">COUNT(SoLieuTho!$C$9:$C$108)</f>
        <v>100</v>
      </c>
      <c r="H7" s="33" t="s">
        <v>172</v>
      </c>
      <c r="I7" s="34" t="n">
        <f aca="false">ThongKe!$D$10</f>
        <v>41.22</v>
      </c>
      <c r="J7" s="34"/>
      <c r="K7" s="33" t="s">
        <v>173</v>
      </c>
      <c r="L7" s="24" t="n">
        <f aca="false">COUNT(SoLieuTho!$F$9:$F$108)</f>
        <v>100</v>
      </c>
      <c r="O7" s="33" t="s">
        <v>172</v>
      </c>
      <c r="P7" s="34" t="n">
        <f aca="false">ThongKe!$E$10</f>
        <v>112.19</v>
      </c>
      <c r="Q7" s="34"/>
      <c r="R7" s="33" t="s">
        <v>173</v>
      </c>
      <c r="S7" s="24" t="n">
        <f aca="false">COUNT(SoLieuTho!$I$9:$I$108)</f>
        <v>100</v>
      </c>
    </row>
    <row r="8" customFormat="false" ht="15" hidden="false" customHeight="false" outlineLevel="0" collapsed="false">
      <c r="A8" s="23" t="s">
        <v>174</v>
      </c>
      <c r="B8" s="23" t="s">
        <v>175</v>
      </c>
      <c r="C8" s="23" t="s">
        <v>176</v>
      </c>
      <c r="D8" s="23" t="s">
        <v>177</v>
      </c>
      <c r="E8" s="23" t="s">
        <v>178</v>
      </c>
      <c r="F8" s="23" t="s">
        <v>157</v>
      </c>
      <c r="G8" s="23" t="s">
        <v>159</v>
      </c>
      <c r="H8" s="23" t="s">
        <v>174</v>
      </c>
      <c r="I8" s="23" t="s">
        <v>175</v>
      </c>
      <c r="J8" s="23" t="s">
        <v>176</v>
      </c>
      <c r="K8" s="23" t="s">
        <v>177</v>
      </c>
      <c r="L8" s="23" t="s">
        <v>178</v>
      </c>
      <c r="M8" s="23" t="s">
        <v>157</v>
      </c>
      <c r="N8" s="23" t="s">
        <v>159</v>
      </c>
      <c r="O8" s="23" t="s">
        <v>174</v>
      </c>
      <c r="P8" s="23" t="s">
        <v>175</v>
      </c>
      <c r="Q8" s="23" t="s">
        <v>176</v>
      </c>
      <c r="R8" s="23" t="s">
        <v>177</v>
      </c>
      <c r="S8" s="23" t="s">
        <v>178</v>
      </c>
      <c r="T8" s="23" t="s">
        <v>157</v>
      </c>
      <c r="U8" s="23" t="s">
        <v>159</v>
      </c>
    </row>
    <row r="9" customFormat="false" ht="15" hidden="false" customHeight="false" outlineLevel="0" collapsed="false">
      <c r="A9" s="20" t="n">
        <v>0</v>
      </c>
      <c r="B9" s="9" t="n">
        <f aca="false">COUNTIF(SoLieuTho!$C$9:$C$108,A9)</f>
        <v>0</v>
      </c>
      <c r="C9" s="21" t="n">
        <f aca="false">SQRT(B9)</f>
        <v>0</v>
      </c>
      <c r="D9" s="21" t="n">
        <f aca="false">$E$7*POISSON(A9,$B$7,FALSE())</f>
        <v>0.400584794209042</v>
      </c>
      <c r="E9" s="21" t="n">
        <f aca="false">$E$7*NORMDIST(A9,$B$7,SQRT($B$7),FALSE())</f>
        <v>1.0747012571568</v>
      </c>
      <c r="F9" s="21" t="n">
        <f aca="false">IF(B9&gt;0,(B9-D9)^2/B9,0)</f>
        <v>0</v>
      </c>
      <c r="G9" s="21" t="n">
        <f aca="false">IF(B9&gt;0,(B9-E9)^2/B9,0)</f>
        <v>0</v>
      </c>
      <c r="H9" s="20" t="n">
        <v>20</v>
      </c>
      <c r="I9" s="9" t="n">
        <f aca="false">COUNTIF(SoLieuTho!$F$9:$F$108,H9)</f>
        <v>0</v>
      </c>
      <c r="J9" s="21" t="n">
        <f aca="false">SQRT(I9)</f>
        <v>0</v>
      </c>
      <c r="K9" s="21" t="n">
        <f aca="false">$L$7*POISSON(H9,$I$7,FALSE())</f>
        <v>0.0103375253590887</v>
      </c>
      <c r="L9" s="21" t="n">
        <f aca="false">$L$7*NORMDIST(H9,$I$7,SQRT($I$7),FALSE())</f>
        <v>0.0263775048630157</v>
      </c>
      <c r="M9" s="21" t="n">
        <f aca="false">IF(I9&gt;0,(I9-K9)^2/I9,0)</f>
        <v>0</v>
      </c>
      <c r="N9" s="21" t="n">
        <f aca="false">IF(I9&gt;0,(I9-L9)^2/I9,0)</f>
        <v>0</v>
      </c>
      <c r="O9" s="20" t="n">
        <v>75</v>
      </c>
      <c r="P9" s="9" t="n">
        <f aca="false">COUNTIF(SoLieuTho!$I$9:$I$108,O9)</f>
        <v>0</v>
      </c>
      <c r="Q9" s="21" t="n">
        <f aca="false">SQRT(P9)</f>
        <v>0</v>
      </c>
      <c r="R9" s="21" t="n">
        <f aca="false">$S$7*POISSON(O9,$P$7,FALSE())</f>
        <v>0.00425061189136801</v>
      </c>
      <c r="S9" s="21" t="n">
        <f aca="false">$S$7*NORMDIST(O9,$P$7,SQRT($P$7),FALSE())</f>
        <v>0.00792332356552613</v>
      </c>
      <c r="T9" s="21" t="n">
        <f aca="false">IF(P9&gt;0,(P9-R9)^2/P9,0)</f>
        <v>0</v>
      </c>
      <c r="U9" s="21" t="n">
        <f aca="false">IF(P9&gt;0,(P9-S9)^2/P9,0)</f>
        <v>0</v>
      </c>
    </row>
    <row r="10" customFormat="false" ht="15" hidden="false" customHeight="false" outlineLevel="0" collapsed="false">
      <c r="A10" s="20" t="n">
        <v>1</v>
      </c>
      <c r="B10" s="9" t="n">
        <f aca="false">COUNTIF(SoLieuTho!$C$9:$C$108,A10)</f>
        <v>4</v>
      </c>
      <c r="C10" s="21" t="n">
        <f aca="false">SQRT(B10)</f>
        <v>2</v>
      </c>
      <c r="D10" s="21" t="n">
        <f aca="false">$E$7*POISSON(A10,$B$7,FALSE())</f>
        <v>2.21122806403391</v>
      </c>
      <c r="E10" s="21" t="n">
        <f aca="false">$E$7*NORMDIST(A10,$B$7,SQRT($B$7),FALSE())</f>
        <v>2.66835722760063</v>
      </c>
      <c r="F10" s="21" t="n">
        <f aca="false">IF(B10&gt;0,(B10-D10)^2/B10,0)</f>
        <v>0.799926259724966</v>
      </c>
      <c r="G10" s="21" t="n">
        <f aca="false">IF(B10&gt;0,(B10-E10)^2/B10,0)</f>
        <v>0.443318118320871</v>
      </c>
      <c r="H10" s="20" t="n">
        <v>21</v>
      </c>
      <c r="I10" s="9" t="n">
        <f aca="false">COUNTIF(SoLieuTho!$F$9:$F$108,H10)</f>
        <v>0</v>
      </c>
      <c r="J10" s="21" t="n">
        <f aca="false">SQRT(I10)</f>
        <v>0</v>
      </c>
      <c r="K10" s="21" t="n">
        <f aca="false">$L$7*POISSON(H10,$I$7,FALSE())</f>
        <v>0.0202910854905542</v>
      </c>
      <c r="L10" s="21" t="n">
        <f aca="false">$L$7*NORMDIST(H10,$I$7,SQRT($I$7),FALSE())</f>
        <v>0.0436053638062963</v>
      </c>
      <c r="M10" s="21" t="n">
        <f aca="false">IF(I10&gt;0,(I10-K10)^2/I10,0)</f>
        <v>0</v>
      </c>
      <c r="N10" s="21" t="n">
        <f aca="false">IF(I10&gt;0,(I10-L10)^2/I10,0)</f>
        <v>0</v>
      </c>
      <c r="O10" s="20" t="n">
        <v>76</v>
      </c>
      <c r="P10" s="9" t="n">
        <f aca="false">COUNTIF(SoLieuTho!$I$9:$I$108,O10)</f>
        <v>0</v>
      </c>
      <c r="Q10" s="21" t="n">
        <f aca="false">SQRT(P10)</f>
        <v>0</v>
      </c>
      <c r="R10" s="21" t="n">
        <f aca="false">$S$7*POISSON(O10,$P$7,FALSE())</f>
        <v>0.00627468615911286</v>
      </c>
      <c r="S10" s="21" t="n">
        <f aca="false">$S$7*NORMDIST(O10,$P$7,SQRT($P$7),FALSE())</f>
        <v>0.0109884558656794</v>
      </c>
      <c r="T10" s="21" t="n">
        <f aca="false">IF(P10&gt;0,(P10-R10)^2/P10,0)</f>
        <v>0</v>
      </c>
      <c r="U10" s="21" t="n">
        <f aca="false">IF(P10&gt;0,(P10-S10)^2/P10,0)</f>
        <v>0</v>
      </c>
    </row>
    <row r="11" customFormat="false" ht="15" hidden="false" customHeight="false" outlineLevel="0" collapsed="false">
      <c r="A11" s="20" t="n">
        <v>2</v>
      </c>
      <c r="B11" s="9" t="n">
        <f aca="false">COUNTIF(SoLieuTho!$C$9:$C$108,A11)</f>
        <v>8</v>
      </c>
      <c r="C11" s="21" t="n">
        <f aca="false">SQRT(B11)</f>
        <v>2.82842712474619</v>
      </c>
      <c r="D11" s="21" t="n">
        <f aca="false">$E$7*POISSON(A11,$B$7,FALSE())</f>
        <v>6.1029894567336</v>
      </c>
      <c r="E11" s="21" t="n">
        <f aca="false">$E$7*NORMDIST(A11,$B$7,SQRT($B$7),FALSE())</f>
        <v>5.52743504291378</v>
      </c>
      <c r="F11" s="21" t="n">
        <f aca="false">IF(B11&gt;0,(B11-D11)^2/B11,0)</f>
        <v>0.449831125157987</v>
      </c>
      <c r="G11" s="21" t="n">
        <f aca="false">IF(B11&gt;0,(B11-E11)^2/B11,0)</f>
        <v>0.764197183376347</v>
      </c>
      <c r="H11" s="20" t="n">
        <v>22</v>
      </c>
      <c r="I11" s="9" t="n">
        <f aca="false">COUNTIF(SoLieuTho!$F$9:$F$108,H11)</f>
        <v>0</v>
      </c>
      <c r="J11" s="21" t="n">
        <f aca="false">SQRT(I11)</f>
        <v>0</v>
      </c>
      <c r="K11" s="21" t="n">
        <f aca="false">$L$7*POISSON(H11,$I$7,FALSE())</f>
        <v>0.0380181156327566</v>
      </c>
      <c r="L11" s="21" t="n">
        <f aca="false">$L$7*NORMDIST(H11,$I$7,SQRT($I$7),FALSE())</f>
        <v>0.070357451996944</v>
      </c>
      <c r="M11" s="21" t="n">
        <f aca="false">IF(I11&gt;0,(I11-K11)^2/I11,0)</f>
        <v>0</v>
      </c>
      <c r="N11" s="21" t="n">
        <f aca="false">IF(I11&gt;0,(I11-L11)^2/I11,0)</f>
        <v>0</v>
      </c>
      <c r="O11" s="20" t="n">
        <v>77</v>
      </c>
      <c r="P11" s="9" t="n">
        <f aca="false">COUNTIF(SoLieuTho!$I$9:$I$108,O11)</f>
        <v>0</v>
      </c>
      <c r="Q11" s="21" t="n">
        <f aca="false">SQRT(P11)</f>
        <v>0</v>
      </c>
      <c r="R11" s="21" t="n">
        <f aca="false">$S$7*POISSON(O11,$P$7,FALSE())</f>
        <v>0.00914229922325807</v>
      </c>
      <c r="S11" s="21" t="n">
        <f aca="false">$S$7*NORMDIST(O11,$P$7,SQRT($P$7),FALSE())</f>
        <v>0.0151041010494114</v>
      </c>
      <c r="T11" s="21" t="n">
        <f aca="false">IF(P11&gt;0,(P11-R11)^2/P11,0)</f>
        <v>0</v>
      </c>
      <c r="U11" s="21" t="n">
        <f aca="false">IF(P11&gt;0,(P11-S11)^2/P11,0)</f>
        <v>0</v>
      </c>
    </row>
    <row r="12" customFormat="false" ht="15" hidden="false" customHeight="false" outlineLevel="0" collapsed="false">
      <c r="A12" s="20" t="n">
        <v>3</v>
      </c>
      <c r="B12" s="9" t="n">
        <f aca="false">COUNTIF(SoLieuTho!$C$9:$C$108,A12)</f>
        <v>9</v>
      </c>
      <c r="C12" s="21" t="n">
        <f aca="false">SQRT(B12)</f>
        <v>3</v>
      </c>
      <c r="D12" s="21" t="n">
        <f aca="false">$E$7*POISSON(A12,$B$7,FALSE())</f>
        <v>11.2295006003898</v>
      </c>
      <c r="E12" s="21" t="n">
        <f aca="false">$E$7*NORMDIST(A12,$B$7,SQRT($B$7),FALSE())</f>
        <v>9.55271427448914</v>
      </c>
      <c r="F12" s="21" t="n">
        <f aca="false">IF(B12&gt;0,(B12-D12)^2/B12,0)</f>
        <v>0.552296991904283</v>
      </c>
      <c r="G12" s="21" t="n">
        <f aca="false">IF(B12&gt;0,(B12-E12)^2/B12,0)</f>
        <v>0.033943674358229</v>
      </c>
      <c r="H12" s="20" t="n">
        <v>23</v>
      </c>
      <c r="I12" s="9" t="n">
        <f aca="false">COUNTIF(SoLieuTho!$F$9:$F$108,H12)</f>
        <v>0</v>
      </c>
      <c r="J12" s="21" t="n">
        <f aca="false">SQRT(I12)</f>
        <v>0</v>
      </c>
      <c r="K12" s="21" t="n">
        <f aca="false">$L$7*POISSON(H12,$I$7,FALSE())</f>
        <v>0.0681350750600967</v>
      </c>
      <c r="L12" s="21" t="n">
        <f aca="false">$L$7*NORMDIST(H12,$I$7,SQRT($I$7),FALSE())</f>
        <v>0.110801152626807</v>
      </c>
      <c r="M12" s="21" t="n">
        <f aca="false">IF(I12&gt;0,(I12-K12)^2/I12,0)</f>
        <v>0</v>
      </c>
      <c r="N12" s="21" t="n">
        <f aca="false">IF(I12&gt;0,(I12-L12)^2/I12,0)</f>
        <v>0</v>
      </c>
      <c r="O12" s="20" t="n">
        <v>78</v>
      </c>
      <c r="P12" s="9" t="n">
        <f aca="false">COUNTIF(SoLieuTho!$I$9:$I$108,O12)</f>
        <v>0</v>
      </c>
      <c r="Q12" s="21" t="n">
        <f aca="false">SQRT(P12)</f>
        <v>0</v>
      </c>
      <c r="R12" s="21" t="n">
        <f aca="false">$S$7*POISSON(O12,$P$7,FALSE())</f>
        <v>0.0131496737161195</v>
      </c>
      <c r="S12" s="21" t="n">
        <f aca="false">$S$7*NORMDIST(O12,$P$7,SQRT($P$7),FALSE())</f>
        <v>0.0205769989031834</v>
      </c>
      <c r="T12" s="21" t="n">
        <f aca="false">IF(P12&gt;0,(P12-R12)^2/P12,0)</f>
        <v>0</v>
      </c>
      <c r="U12" s="21" t="n">
        <f aca="false">IF(P12&gt;0,(P12-S12)^2/P12,0)</f>
        <v>0</v>
      </c>
    </row>
    <row r="13" customFormat="false" ht="15" hidden="false" customHeight="false" outlineLevel="0" collapsed="false">
      <c r="A13" s="20" t="n">
        <v>4</v>
      </c>
      <c r="B13" s="9" t="n">
        <f aca="false">COUNTIF(SoLieuTho!$C$9:$C$108,A13)</f>
        <v>14</v>
      </c>
      <c r="C13" s="21" t="n">
        <f aca="false">SQRT(B13)</f>
        <v>3.74165738677394</v>
      </c>
      <c r="D13" s="21" t="n">
        <f aca="false">$E$7*POISSON(A13,$B$7,FALSE())</f>
        <v>15.4967108285379</v>
      </c>
      <c r="E13" s="21" t="n">
        <f aca="false">$E$7*NORMDIST(A13,$B$7,SQRT($B$7),FALSE())</f>
        <v>13.773787926076</v>
      </c>
      <c r="F13" s="21" t="n">
        <f aca="false">IF(B13&gt;0,(B13-D13)^2/B13,0)</f>
        <v>0.160010236018768</v>
      </c>
      <c r="G13" s="21" t="n">
        <f aca="false">IF(B13&gt;0,(B13-E13)^2/B13,0)</f>
        <v>0.00365513588492963</v>
      </c>
      <c r="H13" s="20" t="n">
        <v>24</v>
      </c>
      <c r="I13" s="9" t="n">
        <f aca="false">COUNTIF(SoLieuTho!$F$9:$F$108,H13)</f>
        <v>0</v>
      </c>
      <c r="J13" s="21" t="n">
        <f aca="false">SQRT(I13)</f>
        <v>0</v>
      </c>
      <c r="K13" s="21" t="n">
        <f aca="false">$L$7*POISSON(H13,$I$7,FALSE())</f>
        <v>0.117021991415716</v>
      </c>
      <c r="L13" s="21" t="n">
        <f aca="false">$L$7*NORMDIST(H13,$I$7,SQRT($I$7),FALSE())</f>
        <v>0.170310898364607</v>
      </c>
      <c r="M13" s="21" t="n">
        <f aca="false">IF(I13&gt;0,(I13-K13)^2/I13,0)</f>
        <v>0</v>
      </c>
      <c r="N13" s="21" t="n">
        <f aca="false">IF(I13&gt;0,(I13-L13)^2/I13,0)</f>
        <v>0</v>
      </c>
      <c r="O13" s="20" t="n">
        <v>79</v>
      </c>
      <c r="P13" s="9" t="n">
        <f aca="false">COUNTIF(SoLieuTho!$I$9:$I$108,O13)</f>
        <v>0</v>
      </c>
      <c r="Q13" s="21" t="n">
        <f aca="false">SQRT(P13)</f>
        <v>0</v>
      </c>
      <c r="R13" s="21" t="n">
        <f aca="false">$S$7*POISSON(O13,$P$7,FALSE())</f>
        <v>0.01867420119255</v>
      </c>
      <c r="S13" s="21" t="n">
        <f aca="false">$S$7*NORMDIST(O13,$P$7,SQRT($P$7),FALSE())</f>
        <v>0.0277842145573108</v>
      </c>
      <c r="T13" s="21" t="n">
        <f aca="false">IF(P13&gt;0,(P13-R13)^2/P13,0)</f>
        <v>0</v>
      </c>
      <c r="U13" s="21" t="n">
        <f aca="false">IF(P13&gt;0,(P13-S13)^2/P13,0)</f>
        <v>0</v>
      </c>
    </row>
    <row r="14" customFormat="false" ht="15" hidden="false" customHeight="false" outlineLevel="0" collapsed="false">
      <c r="A14" s="20" t="n">
        <v>5</v>
      </c>
      <c r="B14" s="9" t="n">
        <f aca="false">COUNTIF(SoLieuTho!$C$9:$C$108,A14)</f>
        <v>14</v>
      </c>
      <c r="C14" s="21" t="n">
        <f aca="false">SQRT(B14)</f>
        <v>3.74165738677394</v>
      </c>
      <c r="D14" s="21" t="n">
        <f aca="false">$E$7*POISSON(A14,$B$7,FALSE())</f>
        <v>17.1083687547059</v>
      </c>
      <c r="E14" s="21" t="n">
        <f aca="false">$E$7*NORMDIST(A14,$B$7,SQRT($B$7),FALSE())</f>
        <v>16.5692732155945</v>
      </c>
      <c r="F14" s="21" t="n">
        <f aca="false">IF(B14&gt;0,(B14-D14)^2/B14,0)</f>
        <v>0.690139736802274</v>
      </c>
      <c r="G14" s="21" t="n">
        <f aca="false">IF(B14&gt;0,(B14-E14)^2/B14,0)</f>
        <v>0.471511775455101</v>
      </c>
      <c r="H14" s="20" t="n">
        <v>25</v>
      </c>
      <c r="I14" s="9" t="n">
        <f aca="false">COUNTIF(SoLieuTho!$F$9:$F$108,H14)</f>
        <v>0</v>
      </c>
      <c r="J14" s="21" t="n">
        <f aca="false">SQRT(I14)</f>
        <v>0</v>
      </c>
      <c r="K14" s="21" t="n">
        <f aca="false">$L$7*POISSON(H14,$I$7,FALSE())</f>
        <v>0.192945859446233</v>
      </c>
      <c r="L14" s="21" t="n">
        <f aca="false">$L$7*NORMDIST(H14,$I$7,SQRT($I$7),FALSE())</f>
        <v>0.255508050122189</v>
      </c>
      <c r="M14" s="21" t="n">
        <f aca="false">IF(I14&gt;0,(I14-K14)^2/I14,0)</f>
        <v>0</v>
      </c>
      <c r="N14" s="21" t="n">
        <f aca="false">IF(I14&gt;0,(I14-L14)^2/I14,0)</f>
        <v>0</v>
      </c>
      <c r="O14" s="20" t="n">
        <v>80</v>
      </c>
      <c r="P14" s="9" t="n">
        <f aca="false">COUNTIF(SoLieuTho!$I$9:$I$108,O14)</f>
        <v>0</v>
      </c>
      <c r="Q14" s="21" t="n">
        <f aca="false">SQRT(P14)</f>
        <v>0</v>
      </c>
      <c r="R14" s="21" t="n">
        <f aca="false">$S$7*POISSON(O14,$P$7,FALSE())</f>
        <v>0.0261882328974023</v>
      </c>
      <c r="S14" s="21" t="n">
        <f aca="false">$S$7*NORMDIST(O14,$P$7,SQRT($P$7),FALSE())</f>
        <v>0.0371828908171668</v>
      </c>
      <c r="T14" s="21" t="n">
        <f aca="false">IF(P14&gt;0,(P14-R14)^2/P14,0)</f>
        <v>0</v>
      </c>
      <c r="U14" s="21" t="n">
        <f aca="false">IF(P14&gt;0,(P14-S14)^2/P14,0)</f>
        <v>0</v>
      </c>
    </row>
    <row r="15" customFormat="false" ht="15" hidden="false" customHeight="false" outlineLevel="0" collapsed="false">
      <c r="A15" s="20" t="n">
        <v>6</v>
      </c>
      <c r="B15" s="9" t="n">
        <f aca="false">COUNTIF(SoLieuTho!$C$9:$C$108,A15)</f>
        <v>21</v>
      </c>
      <c r="C15" s="21" t="n">
        <f aca="false">SQRT(B15)</f>
        <v>4.58257569495584</v>
      </c>
      <c r="D15" s="21" t="n">
        <f aca="false">$E$7*POISSON(A15,$B$7,FALSE())</f>
        <v>15.7396992543294</v>
      </c>
      <c r="E15" s="21" t="n">
        <f aca="false">$E$7*NORMDIST(A15,$B$7,SQRT($B$7),FALSE())</f>
        <v>16.6294157021885</v>
      </c>
      <c r="F15" s="21" t="n">
        <f aca="false">IF(B15&gt;0,(B15-D15)^2/B15,0)</f>
        <v>1.31765542547155</v>
      </c>
      <c r="G15" s="21" t="n">
        <f aca="false">IF(B15&gt;0,(B15-E15)^2/B15,0)</f>
        <v>0.909619385917934</v>
      </c>
      <c r="H15" s="20" t="n">
        <v>26</v>
      </c>
      <c r="I15" s="9" t="n">
        <f aca="false">COUNTIF(SoLieuTho!$F$9:$F$108,H15)</f>
        <v>1</v>
      </c>
      <c r="J15" s="21" t="n">
        <f aca="false">SQRT(I15)</f>
        <v>1</v>
      </c>
      <c r="K15" s="21" t="n">
        <f aca="false">$L$7*POISSON(H15,$I$7,FALSE())</f>
        <v>0.30589339716822</v>
      </c>
      <c r="L15" s="21" t="n">
        <f aca="false">$L$7*NORMDIST(H15,$I$7,SQRT($I$7),FALSE())</f>
        <v>0.374137053803276</v>
      </c>
      <c r="M15" s="21" t="n">
        <f aca="false">IF(I15&gt;0,(I15-K15)^2/I15,0)</f>
        <v>0.481783976094675</v>
      </c>
      <c r="N15" s="21" t="n">
        <f aca="false">IF(I15&gt;0,(I15-L15)^2/I15,0)</f>
        <v>0.391704427422043</v>
      </c>
      <c r="O15" s="20" t="n">
        <v>81</v>
      </c>
      <c r="P15" s="9" t="n">
        <f aca="false">COUNTIF(SoLieuTho!$I$9:$I$108,O15)</f>
        <v>1</v>
      </c>
      <c r="Q15" s="21" t="n">
        <f aca="false">SQRT(P15)</f>
        <v>1</v>
      </c>
      <c r="R15" s="21" t="n">
        <f aca="false">$S$7*POISSON(O15,$P$7,FALSE())</f>
        <v>0.0362723191204884</v>
      </c>
      <c r="S15" s="21" t="n">
        <f aca="false">$S$7*NORMDIST(O15,$P$7,SQRT($P$7),FALSE())</f>
        <v>0.0493193241226327</v>
      </c>
      <c r="T15" s="21" t="n">
        <f aca="false">IF(P15&gt;0,(P15-R15)^2/P15,0)</f>
        <v>0.928771042893402</v>
      </c>
      <c r="U15" s="21" t="n">
        <f aca="false">IF(P15&gt;0,(P15-S15)^2/P15,0)</f>
        <v>0.903793747486648</v>
      </c>
    </row>
    <row r="16" customFormat="false" ht="15" hidden="false" customHeight="false" outlineLevel="0" collapsed="false">
      <c r="A16" s="20" t="n">
        <v>7</v>
      </c>
      <c r="B16" s="9" t="n">
        <f aca="false">COUNTIF(SoLieuTho!$C$9:$C$108,A16)</f>
        <v>13</v>
      </c>
      <c r="C16" s="21" t="n">
        <f aca="false">SQRT(B16)</f>
        <v>3.60555127546399</v>
      </c>
      <c r="D16" s="21" t="n">
        <f aca="false">$E$7*POISSON(A16,$B$7,FALSE())</f>
        <v>12.4118771262712</v>
      </c>
      <c r="E16" s="21" t="n">
        <f aca="false">$E$7*NORMDIST(A16,$B$7,SQRT($B$7),FALSE())</f>
        <v>13.9243196372799</v>
      </c>
      <c r="F16" s="21" t="n">
        <f aca="false">IF(B16&gt;0,(B16-D16)^2/B16,0)</f>
        <v>0.0266068088156174</v>
      </c>
      <c r="G16" s="21" t="n">
        <f aca="false">IF(B16&gt;0,(B16-E16)^2/B16,0)</f>
        <v>0.0657205224508588</v>
      </c>
      <c r="H16" s="20" t="n">
        <v>27</v>
      </c>
      <c r="I16" s="9" t="n">
        <f aca="false">COUNTIF(SoLieuTho!$F$9:$F$108,H16)</f>
        <v>0</v>
      </c>
      <c r="J16" s="21" t="n">
        <f aca="false">SQRT(I16)</f>
        <v>0</v>
      </c>
      <c r="K16" s="21" t="n">
        <f aca="false">$L$7*POISSON(H16,$I$7,FALSE())</f>
        <v>0.466997253010149</v>
      </c>
      <c r="L16" s="21" t="n">
        <f aca="false">$L$7*NORMDIST(H16,$I$7,SQRT($I$7),FALSE())</f>
        <v>0.534713122904453</v>
      </c>
      <c r="M16" s="21" t="n">
        <f aca="false">IF(I16&gt;0,(I16-K16)^2/I16,0)</f>
        <v>0</v>
      </c>
      <c r="N16" s="21" t="n">
        <f aca="false">IF(I16&gt;0,(I16-L16)^2/I16,0)</f>
        <v>0</v>
      </c>
      <c r="O16" s="20" t="n">
        <v>82</v>
      </c>
      <c r="P16" s="9" t="n">
        <f aca="false">COUNTIF(SoLieuTho!$I$9:$I$108,O16)</f>
        <v>0</v>
      </c>
      <c r="Q16" s="21" t="n">
        <f aca="false">SQRT(P16)</f>
        <v>0</v>
      </c>
      <c r="R16" s="21" t="n">
        <f aca="false">$S$7*POISSON(O16,$P$7,FALSE())</f>
        <v>0.0496267253918</v>
      </c>
      <c r="S16" s="21" t="n">
        <f aca="false">$S$7*NORMDIST(O16,$P$7,SQRT($P$7),FALSE())</f>
        <v>0.0648365681152824</v>
      </c>
      <c r="T16" s="21" t="n">
        <f aca="false">IF(P16&gt;0,(P16-R16)^2/P16,0)</f>
        <v>0</v>
      </c>
      <c r="U16" s="21" t="n">
        <f aca="false">IF(P16&gt;0,(P16-S16)^2/P16,0)</f>
        <v>0</v>
      </c>
    </row>
    <row r="17" customFormat="false" ht="15" hidden="false" customHeight="false" outlineLevel="0" collapsed="false">
      <c r="A17" s="20" t="n">
        <v>8</v>
      </c>
      <c r="B17" s="9" t="n">
        <f aca="false">COUNTIF(SoLieuTho!$C$9:$C$108,A17)</f>
        <v>2</v>
      </c>
      <c r="C17" s="21" t="n">
        <f aca="false">SQRT(B17)</f>
        <v>1.4142135623731</v>
      </c>
      <c r="D17" s="21" t="n">
        <f aca="false">$E$7*POISSON(A17,$B$7,FALSE())</f>
        <v>8.56419521712713</v>
      </c>
      <c r="E17" s="21" t="n">
        <f aca="false">$E$7*NORMDIST(A17,$B$7,SQRT($B$7),FALSE())</f>
        <v>9.72734774137124</v>
      </c>
      <c r="F17" s="21" t="n">
        <f aca="false">IF(B17&gt;0,(B17-D17)^2/B17,0)</f>
        <v>21.5443294242773</v>
      </c>
      <c r="G17" s="21" t="n">
        <f aca="false">IF(B17&gt;0,(B17-E17)^2/B17,0)</f>
        <v>29.8559515580376</v>
      </c>
      <c r="H17" s="20" t="n">
        <v>28</v>
      </c>
      <c r="I17" s="9" t="n">
        <f aca="false">COUNTIF(SoLieuTho!$F$9:$F$108,H17)</f>
        <v>1</v>
      </c>
      <c r="J17" s="21" t="n">
        <f aca="false">SQRT(I17)</f>
        <v>1</v>
      </c>
      <c r="K17" s="21" t="n">
        <f aca="false">$L$7*POISSON(H17,$I$7,FALSE())</f>
        <v>0.687486670324226</v>
      </c>
      <c r="L17" s="21" t="n">
        <f aca="false">$L$7*NORMDIST(H17,$I$7,SQRT($I$7),FALSE())</f>
        <v>0.745890283390118</v>
      </c>
      <c r="M17" s="21" t="n">
        <f aca="false">IF(I17&gt;0,(I17-K17)^2/I17,0)</f>
        <v>0.0976645812250388</v>
      </c>
      <c r="N17" s="21" t="n">
        <f aca="false">IF(I17&gt;0,(I17-L17)^2/I17,0)</f>
        <v>0.0645717480755544</v>
      </c>
      <c r="O17" s="20" t="n">
        <v>83</v>
      </c>
      <c r="P17" s="9" t="n">
        <f aca="false">COUNTIF(SoLieuTho!$I$9:$I$108,O17)</f>
        <v>0</v>
      </c>
      <c r="Q17" s="21" t="n">
        <f aca="false">SQRT(P17)</f>
        <v>0</v>
      </c>
      <c r="R17" s="21" t="n">
        <f aca="false">$S$7*POISSON(O17,$P$7,FALSE())</f>
        <v>0.0670797870085065</v>
      </c>
      <c r="S17" s="21" t="n">
        <f aca="false">$S$7*NORMDIST(O17,$P$7,SQRT($P$7),FALSE())</f>
        <v>0.0844796020387426</v>
      </c>
      <c r="T17" s="21" t="n">
        <f aca="false">IF(P17&gt;0,(P17-R17)^2/P17,0)</f>
        <v>0</v>
      </c>
      <c r="U17" s="21" t="n">
        <f aca="false">IF(P17&gt;0,(P17-S17)^2/P17,0)</f>
        <v>0</v>
      </c>
    </row>
    <row r="18" customFormat="false" ht="15" hidden="false" customHeight="false" outlineLevel="0" collapsed="false">
      <c r="A18" s="20" t="n">
        <v>9</v>
      </c>
      <c r="B18" s="9" t="n">
        <f aca="false">COUNTIF(SoLieuTho!$C$9:$C$108,A18)</f>
        <v>8</v>
      </c>
      <c r="C18" s="21" t="n">
        <f aca="false">SQRT(B18)</f>
        <v>2.82842712474619</v>
      </c>
      <c r="D18" s="21" t="n">
        <f aca="false">$E$7*POISSON(A18,$B$7,FALSE())</f>
        <v>5.25270639983797</v>
      </c>
      <c r="E18" s="21" t="n">
        <f aca="false">$E$7*NORMDIST(A18,$B$7,SQRT($B$7),FALSE())</f>
        <v>5.66941649154485</v>
      </c>
      <c r="F18" s="21" t="n">
        <f aca="false">IF(B18&gt;0,(B18-D18)^2/B18,0)</f>
        <v>0.943452765686407</v>
      </c>
      <c r="G18" s="21" t="n">
        <f aca="false">IF(B18&gt;0,(B18-E18)^2/B18,0)</f>
        <v>0.678952436235391</v>
      </c>
      <c r="H18" s="20" t="n">
        <v>29</v>
      </c>
      <c r="I18" s="9" t="n">
        <f aca="false">COUNTIF(SoLieuTho!$F$9:$F$108,H18)</f>
        <v>3</v>
      </c>
      <c r="J18" s="21" t="n">
        <f aca="false">SQRT(I18)</f>
        <v>1.73205080756888</v>
      </c>
      <c r="K18" s="21" t="n">
        <f aca="false">$L$7*POISSON(H18,$I$7,FALSE())</f>
        <v>0.977179329336711</v>
      </c>
      <c r="L18" s="21" t="n">
        <f aca="false">$L$7*NORMDIST(H18,$I$7,SQRT($I$7),FALSE())</f>
        <v>1.01553066776081</v>
      </c>
      <c r="M18" s="21" t="n">
        <f aca="false">IF(I18&gt;0,(I18-K18)^2/I18,0)</f>
        <v>1.36393448855423</v>
      </c>
      <c r="N18" s="21" t="n">
        <f aca="false">IF(I18&gt;0,(I18-L18)^2/I18,0)</f>
        <v>1.31270617686596</v>
      </c>
      <c r="O18" s="20" t="n">
        <v>84</v>
      </c>
      <c r="P18" s="9" t="n">
        <f aca="false">COUNTIF(SoLieuTho!$I$9:$I$108,O18)</f>
        <v>1</v>
      </c>
      <c r="Q18" s="21" t="n">
        <f aca="false">SQRT(P18)</f>
        <v>1</v>
      </c>
      <c r="R18" s="21" t="n">
        <f aca="false">$S$7*POISSON(O18,$P$7,FALSE())</f>
        <v>0.0895914441010041</v>
      </c>
      <c r="S18" s="21" t="n">
        <f aca="false">$S$7*NORMDIST(O18,$P$7,SQRT($P$7),FALSE())</f>
        <v>0.109096957054916</v>
      </c>
      <c r="T18" s="21" t="n">
        <f aca="false">IF(P18&gt;0,(P18-R18)^2/P18,0)</f>
        <v>0.828843738654095</v>
      </c>
      <c r="U18" s="21" t="n">
        <f aca="false">IF(P18&gt;0,(P18-S18)^2/P18,0)</f>
        <v>0.793708231928811</v>
      </c>
    </row>
    <row r="19" customFormat="false" ht="15" hidden="false" customHeight="false" outlineLevel="0" collapsed="false">
      <c r="A19" s="20" t="n">
        <v>10</v>
      </c>
      <c r="B19" s="9" t="n">
        <f aca="false">COUNTIF(SoLieuTho!$C$9:$C$108,A19)</f>
        <v>5</v>
      </c>
      <c r="C19" s="21" t="n">
        <f aca="false">SQRT(B19)</f>
        <v>2.23606797749979</v>
      </c>
      <c r="D19" s="21" t="n">
        <f aca="false">$E$7*POISSON(A19,$B$7,FALSE())</f>
        <v>2.89949393271056</v>
      </c>
      <c r="E19" s="21" t="n">
        <f aca="false">$E$7*NORMDIST(A19,$B$7,SQRT($B$7),FALSE())</f>
        <v>2.75680309135219</v>
      </c>
      <c r="F19" s="21" t="n">
        <f aca="false">IF(B19&gt;0,(B19-D19)^2/B19,0)</f>
        <v>0.882425147743951</v>
      </c>
      <c r="G19" s="21" t="n">
        <f aca="false">IF(B19&gt;0,(B19-E19)^2/B19,0)</f>
        <v>1.00638647419342</v>
      </c>
      <c r="H19" s="20" t="n">
        <v>30</v>
      </c>
      <c r="I19" s="9" t="n">
        <f aca="false">COUNTIF(SoLieuTho!$F$9:$F$108,H19)</f>
        <v>1</v>
      </c>
      <c r="J19" s="21" t="n">
        <f aca="false">SQRT(I19)</f>
        <v>1</v>
      </c>
      <c r="K19" s="21" t="n">
        <f aca="false">$L$7*POISSON(H19,$I$7,FALSE())</f>
        <v>1.34264439850864</v>
      </c>
      <c r="L19" s="21" t="n">
        <f aca="false">$L$7*NORMDIST(H19,$I$7,SQRT($I$7),FALSE())</f>
        <v>1.34950694169842</v>
      </c>
      <c r="M19" s="21" t="n">
        <f aca="false">IF(I19&gt;0,(I19-K19)^2/I19,0)</f>
        <v>0.117405183829348</v>
      </c>
      <c r="N19" s="21" t="n">
        <f aca="false">IF(I19&gt;0,(I19-L19)^2/I19,0)</f>
        <v>0.122155102295384</v>
      </c>
      <c r="O19" s="20" t="n">
        <v>85</v>
      </c>
      <c r="P19" s="9" t="n">
        <f aca="false">COUNTIF(SoLieuTho!$I$9:$I$108,O19)</f>
        <v>0</v>
      </c>
      <c r="Q19" s="21" t="n">
        <f aca="false">SQRT(P19)</f>
        <v>0</v>
      </c>
      <c r="R19" s="21" t="n">
        <f aca="false">$S$7*POISSON(O19,$P$7,FALSE())</f>
        <v>0.118250166043431</v>
      </c>
      <c r="S19" s="21" t="n">
        <f aca="false">$S$7*NORMDIST(O19,$P$7,SQRT($P$7),FALSE())</f>
        <v>0.139637592677061</v>
      </c>
      <c r="T19" s="21" t="n">
        <f aca="false">IF(P19&gt;0,(P19-R19)^2/P19,0)</f>
        <v>0</v>
      </c>
      <c r="U19" s="21" t="n">
        <f aca="false">IF(P19&gt;0,(P19-S19)^2/P19,0)</f>
        <v>0</v>
      </c>
    </row>
    <row r="20" customFormat="false" ht="15" hidden="false" customHeight="false" outlineLevel="0" collapsed="false">
      <c r="A20" s="20" t="n">
        <v>11</v>
      </c>
      <c r="B20" s="9" t="n">
        <f aca="false">COUNTIF(SoLieuTho!$C$9:$C$108,A20)</f>
        <v>0</v>
      </c>
      <c r="C20" s="21" t="n">
        <f aca="false">SQRT(B20)</f>
        <v>0</v>
      </c>
      <c r="D20" s="21" t="n">
        <f aca="false">$E$7*POISSON(A20,$B$7,FALSE())</f>
        <v>1.45501877350566</v>
      </c>
      <c r="E20" s="21" t="n">
        <f aca="false">$E$7*NORMDIST(A20,$B$7,SQRT($B$7),FALSE())</f>
        <v>1.11839854899468</v>
      </c>
      <c r="F20" s="21" t="n">
        <f aca="false">IF(B20&gt;0,(B20-D20)^2/B20,0)</f>
        <v>0</v>
      </c>
      <c r="G20" s="21" t="n">
        <f aca="false">IF(B20&gt;0,(B20-E20)^2/B20,0)</f>
        <v>0</v>
      </c>
      <c r="H20" s="20" t="n">
        <v>31</v>
      </c>
      <c r="I20" s="9" t="n">
        <f aca="false">COUNTIF(SoLieuTho!$F$9:$F$108,H20)</f>
        <v>1</v>
      </c>
      <c r="J20" s="21" t="n">
        <f aca="false">SQRT(I20)</f>
        <v>1</v>
      </c>
      <c r="K20" s="21" t="n">
        <f aca="false">$L$7*POISSON(H20,$I$7,FALSE())</f>
        <v>1.7852839389202</v>
      </c>
      <c r="L20" s="21" t="n">
        <f aca="false">$L$7*NORMDIST(H20,$I$7,SQRT($I$7),FALSE())</f>
        <v>1.7503350479069</v>
      </c>
      <c r="M20" s="21" t="n">
        <f aca="false">IF(I20&gt;0,(I20-K20)^2/I20,0)</f>
        <v>0.616670864726022</v>
      </c>
      <c r="N20" s="21" t="n">
        <f aca="false">IF(I20&gt;0,(I20-L20)^2/I20,0)</f>
        <v>0.563002684117451</v>
      </c>
      <c r="O20" s="20" t="n">
        <v>86</v>
      </c>
      <c r="P20" s="9" t="n">
        <f aca="false">COUNTIF(SoLieuTho!$I$9:$I$108,O20)</f>
        <v>1</v>
      </c>
      <c r="Q20" s="21" t="n">
        <f aca="false">SQRT(P20)</f>
        <v>1</v>
      </c>
      <c r="R20" s="21" t="n">
        <f aca="false">$S$7*POISSON(O20,$P$7,FALSE())</f>
        <v>0.154261466609448</v>
      </c>
      <c r="S20" s="21" t="n">
        <f aca="false">$S$7*NORMDIST(O20,$P$7,SQRT($P$7),FALSE())</f>
        <v>0.177141780850403</v>
      </c>
      <c r="T20" s="21" t="n">
        <f aca="false">IF(P20&gt;0,(P20-R20)^2/P20,0)</f>
        <v>0.715273666861602</v>
      </c>
      <c r="U20" s="21" t="n">
        <f aca="false">IF(P20&gt;0,(P20-S20)^2/P20,0)</f>
        <v>0.677095648822047</v>
      </c>
    </row>
    <row r="21" customFormat="false" ht="15" hidden="false" customHeight="false" outlineLevel="0" collapsed="false">
      <c r="A21" s="20" t="n">
        <v>12</v>
      </c>
      <c r="B21" s="9" t="n">
        <f aca="false">COUNTIF(SoLieuTho!$C$9:$C$108,A21)</f>
        <v>2</v>
      </c>
      <c r="C21" s="21" t="n">
        <f aca="false">SQRT(B21)</f>
        <v>1.4142135623731</v>
      </c>
      <c r="D21" s="21" t="n">
        <f aca="false">$E$7*POISSON(A21,$B$7,FALSE())</f>
        <v>0.669308635812605</v>
      </c>
      <c r="E21" s="21" t="n">
        <f aca="false">$E$7*NORMDIST(A21,$B$7,SQRT($B$7),FALSE())</f>
        <v>0.378539240324249</v>
      </c>
      <c r="F21" s="21" t="n">
        <f aca="false">IF(B21&gt;0,(B21-D21)^2/B21,0)</f>
        <v>0.885369753361456</v>
      </c>
      <c r="G21" s="21" t="n">
        <f aca="false">IF(B21&gt;0,(B21-E21)^2/B21,0)</f>
        <v>1.31456749758413</v>
      </c>
      <c r="H21" s="20" t="n">
        <v>32</v>
      </c>
      <c r="I21" s="9" t="n">
        <f aca="false">COUNTIF(SoLieuTho!$F$9:$F$108,H21)</f>
        <v>2</v>
      </c>
      <c r="J21" s="21" t="n">
        <f aca="false">SQRT(I21)</f>
        <v>1.4142135623731</v>
      </c>
      <c r="K21" s="21" t="n">
        <f aca="false">$L$7*POISSON(H21,$I$7,FALSE())</f>
        <v>2.29966887382158</v>
      </c>
      <c r="L21" s="21" t="n">
        <f aca="false">$L$7*NORMDIST(H21,$I$7,SQRT($I$7),FALSE())</f>
        <v>2.21580348703921</v>
      </c>
      <c r="M21" s="21" t="n">
        <f aca="false">IF(I21&gt;0,(I21-K21)^2/I21,0)</f>
        <v>0.0449007169687472</v>
      </c>
      <c r="N21" s="21" t="n">
        <f aca="false">IF(I21&gt;0,(I21-L21)^2/I21,0)</f>
        <v>0.0232855725091416</v>
      </c>
      <c r="O21" s="20" t="n">
        <v>87</v>
      </c>
      <c r="P21" s="9" t="n">
        <f aca="false">COUNTIF(SoLieuTho!$I$9:$I$108,O21)</f>
        <v>0</v>
      </c>
      <c r="Q21" s="21" t="n">
        <f aca="false">SQRT(P21)</f>
        <v>0</v>
      </c>
      <c r="R21" s="21" t="n">
        <f aca="false">$S$7*POISSON(O21,$P$7,FALSE())</f>
        <v>0.198926367113954</v>
      </c>
      <c r="S21" s="21" t="n">
        <f aca="false">$S$7*NORMDIST(O21,$P$7,SQRT($P$7),FALSE())</f>
        <v>0.222724810185818</v>
      </c>
      <c r="T21" s="21" t="n">
        <f aca="false">IF(P21&gt;0,(P21-R21)^2/P21,0)</f>
        <v>0</v>
      </c>
      <c r="U21" s="21" t="n">
        <f aca="false">IF(P21&gt;0,(P21-S21)^2/P21,0)</f>
        <v>0</v>
      </c>
    </row>
    <row r="22" customFormat="false" ht="15" hidden="false" customHeight="false" outlineLevel="0" collapsed="false">
      <c r="A22" s="20" t="n">
        <v>13</v>
      </c>
      <c r="B22" s="9" t="n">
        <f aca="false">COUNTIF(SoLieuTho!$C$9:$C$108,A22)</f>
        <v>0</v>
      </c>
      <c r="C22" s="21" t="n">
        <f aca="false">SQRT(B22)</f>
        <v>0</v>
      </c>
      <c r="D22" s="21" t="n">
        <f aca="false">$E$7*POISSON(A22,$B$7,FALSE())</f>
        <v>0.284198743821967</v>
      </c>
      <c r="E22" s="21" t="n">
        <f aca="false">$E$7*NORMDIST(A22,$B$7,SQRT($B$7),FALSE())</f>
        <v>0.106892856015223</v>
      </c>
      <c r="F22" s="21" t="n">
        <f aca="false">IF(B22&gt;0,(B22-D22)^2/B22,0)</f>
        <v>0</v>
      </c>
      <c r="G22" s="21" t="n">
        <f aca="false">IF(B22&gt;0,(B22-E22)^2/B22,0)</f>
        <v>0</v>
      </c>
      <c r="H22" s="20" t="n">
        <v>33</v>
      </c>
      <c r="I22" s="9" t="n">
        <f aca="false">COUNTIF(SoLieuTho!$F$9:$F$108,H22)</f>
        <v>7</v>
      </c>
      <c r="J22" s="21" t="n">
        <f aca="false">SQRT(I22)</f>
        <v>2.64575131106459</v>
      </c>
      <c r="K22" s="21" t="n">
        <f aca="false">$L$7*POISSON(H22,$I$7,FALSE())</f>
        <v>2.87249548420987</v>
      </c>
      <c r="L22" s="21" t="n">
        <f aca="false">$L$7*NORMDIST(H22,$I$7,SQRT($I$7),FALSE())</f>
        <v>2.73782244997929</v>
      </c>
      <c r="M22" s="21" t="n">
        <f aca="false">IF(I22&gt;0,(I22-K22)^2/I22,0)</f>
        <v>2.43375621826685</v>
      </c>
      <c r="N22" s="21" t="n">
        <f aca="false">IF(I22&gt;0,(I22-L22)^2/I22,0)</f>
        <v>2.59516535255723</v>
      </c>
      <c r="O22" s="20" t="n">
        <v>88</v>
      </c>
      <c r="P22" s="9" t="n">
        <f aca="false">COUNTIF(SoLieuTho!$I$9:$I$108,O22)</f>
        <v>0</v>
      </c>
      <c r="Q22" s="21" t="n">
        <f aca="false">SQRT(P22)</f>
        <v>0</v>
      </c>
      <c r="R22" s="21" t="n">
        <f aca="false">$S$7*POISSON(O22,$P$7,FALSE())</f>
        <v>0.253608512801301</v>
      </c>
      <c r="S22" s="21" t="n">
        <f aca="false">$S$7*NORMDIST(O22,$P$7,SQRT($P$7),FALSE())</f>
        <v>0.277552488948499</v>
      </c>
      <c r="T22" s="21" t="n">
        <f aca="false">IF(P22&gt;0,(P22-R22)^2/P22,0)</f>
        <v>0</v>
      </c>
      <c r="U22" s="21" t="n">
        <f aca="false">IF(P22&gt;0,(P22-S22)^2/P22,0)</f>
        <v>0</v>
      </c>
    </row>
    <row r="23" customFormat="false" ht="15" hidden="false" customHeight="false" outlineLevel="0" collapsed="false">
      <c r="A23" s="20" t="n">
        <v>14</v>
      </c>
      <c r="B23" s="9" t="n">
        <f aca="false">COUNTIF(SoLieuTho!$C$9:$C$108,A23)</f>
        <v>0</v>
      </c>
      <c r="C23" s="21" t="n">
        <f aca="false">SQRT(B23)</f>
        <v>0</v>
      </c>
      <c r="D23" s="21" t="n">
        <f aca="false">$E$7*POISSON(A23,$B$7,FALSE())</f>
        <v>0.112055504706947</v>
      </c>
      <c r="E23" s="21" t="n">
        <f aca="false">$E$7*NORMDIST(A23,$B$7,SQRT($B$7),FALSE())</f>
        <v>0.0251831422722537</v>
      </c>
      <c r="F23" s="21" t="n">
        <f aca="false">IF(B23&gt;0,(B23-D23)^2/B23,0)</f>
        <v>0</v>
      </c>
      <c r="G23" s="21" t="n">
        <f aca="false">IF(B23&gt;0,(B23-E23)^2/B23,0)</f>
        <v>0</v>
      </c>
      <c r="H23" s="20" t="n">
        <v>34</v>
      </c>
      <c r="I23" s="9" t="n">
        <f aca="false">COUNTIF(SoLieuTho!$F$9:$F$108,H23)</f>
        <v>5</v>
      </c>
      <c r="J23" s="21" t="n">
        <f aca="false">SQRT(I23)</f>
        <v>2.23606797749979</v>
      </c>
      <c r="K23" s="21" t="n">
        <f aca="false">$L$7*POISSON(H23,$I$7,FALSE())</f>
        <v>3.48247834879796</v>
      </c>
      <c r="L23" s="21" t="n">
        <f aca="false">$L$7*NORMDIST(H23,$I$7,SQRT($I$7),FALSE())</f>
        <v>3.30174330279174</v>
      </c>
      <c r="M23" s="21" t="n">
        <f aca="false">IF(I23&gt;0,(I23-K23)^2/I23,0)</f>
        <v>0.460574392373393</v>
      </c>
      <c r="N23" s="21" t="n">
        <f aca="false">IF(I23&gt;0,(I23-L23)^2/I23,0)</f>
        <v>0.576815161922542</v>
      </c>
      <c r="O23" s="20" t="n">
        <v>89</v>
      </c>
      <c r="P23" s="9" t="n">
        <f aca="false">COUNTIF(SoLieuTho!$I$9:$I$108,O23)</f>
        <v>1</v>
      </c>
      <c r="Q23" s="21" t="n">
        <f aca="false">SQRT(P23)</f>
        <v>1</v>
      </c>
      <c r="R23" s="21" t="n">
        <f aca="false">$S$7*POISSON(O23,$P$7,FALSE())</f>
        <v>0.319689202822224</v>
      </c>
      <c r="S23" s="21" t="n">
        <f aca="false">$S$7*NORMDIST(O23,$P$7,SQRT($P$7),FALSE())</f>
        <v>0.342807719201413</v>
      </c>
      <c r="T23" s="21" t="n">
        <f aca="false">IF(P23&gt;0,(P23-R23)^2/P23,0)</f>
        <v>0.462822780756661</v>
      </c>
      <c r="U23" s="21" t="n">
        <f aca="false">IF(P23&gt;0,(P23-S23)^2/P23,0)</f>
        <v>0.431901693941249</v>
      </c>
    </row>
    <row r="24" customFormat="false" ht="15" hidden="false" customHeight="false" outlineLevel="0" collapsed="false">
      <c r="A24" s="20" t="n">
        <v>15</v>
      </c>
      <c r="B24" s="9" t="n">
        <f aca="false">COUNTIF(SoLieuTho!$C$9:$C$108,A24)</f>
        <v>0</v>
      </c>
      <c r="C24" s="21" t="n">
        <f aca="false">SQRT(B24)</f>
        <v>0</v>
      </c>
      <c r="D24" s="21" t="n">
        <f aca="false">$E$7*POISSON(A24,$B$7,FALSE())</f>
        <v>0.0412364257321565</v>
      </c>
      <c r="E24" s="21" t="n">
        <f aca="false">$E$7*NORMDIST(A24,$B$7,SQRT($B$7),FALSE())</f>
        <v>0.00494987943150559</v>
      </c>
      <c r="F24" s="21" t="n">
        <f aca="false">IF(B24&gt;0,(B24-D24)^2/B24,0)</f>
        <v>0</v>
      </c>
      <c r="G24" s="21" t="n">
        <f aca="false">IF(B24&gt;0,(B24-E24)^2/B24,0)</f>
        <v>0</v>
      </c>
      <c r="H24" s="20" t="n">
        <v>35</v>
      </c>
      <c r="I24" s="9" t="n">
        <f aca="false">COUNTIF(SoLieuTho!$F$9:$F$108,H24)</f>
        <v>3</v>
      </c>
      <c r="J24" s="21" t="n">
        <f aca="false">SQRT(I24)</f>
        <v>1.73205080756888</v>
      </c>
      <c r="K24" s="21" t="n">
        <f aca="false">$L$7*POISSON(H24,$I$7,FALSE())</f>
        <v>4.10136450107005</v>
      </c>
      <c r="L24" s="21" t="n">
        <f aca="false">$L$7*NORMDIST(H24,$I$7,SQRT($I$7),FALSE())</f>
        <v>3.88638048942708</v>
      </c>
      <c r="M24" s="21" t="n">
        <f aca="false">IF(I24&gt;0,(I24-K24)^2/I24,0)</f>
        <v>0.40433458807243</v>
      </c>
      <c r="N24" s="21" t="n">
        <f aca="false">IF(I24&gt;0,(I24-L24)^2/I24,0)</f>
        <v>0.26189012401233</v>
      </c>
      <c r="O24" s="20" t="n">
        <v>90</v>
      </c>
      <c r="P24" s="9" t="n">
        <f aca="false">COUNTIF(SoLieuTho!$I$9:$I$108,O24)</f>
        <v>0</v>
      </c>
      <c r="Q24" s="21" t="n">
        <f aca="false">SQRT(P24)</f>
        <v>0</v>
      </c>
      <c r="R24" s="21" t="n">
        <f aca="false">$S$7*POISSON(O24,$P$7,FALSE())</f>
        <v>0.39851035182917</v>
      </c>
      <c r="S24" s="21" t="n">
        <f aca="false">$S$7*NORMDIST(O24,$P$7,SQRT($P$7),FALSE())</f>
        <v>0.419647844486608</v>
      </c>
      <c r="T24" s="21" t="n">
        <f aca="false">IF(P24&gt;0,(P24-R24)^2/P24,0)</f>
        <v>0</v>
      </c>
      <c r="U24" s="21" t="n">
        <f aca="false">IF(P24&gt;0,(P24-S24)^2/P24,0)</f>
        <v>0</v>
      </c>
    </row>
    <row r="25" customFormat="false" ht="15" hidden="false" customHeight="false" outlineLevel="0" collapsed="false">
      <c r="A25" s="20" t="n">
        <v>16</v>
      </c>
      <c r="B25" s="9" t="n">
        <f aca="false">COUNTIF(SoLieuTho!$C$9:$C$108,A25)</f>
        <v>0</v>
      </c>
      <c r="C25" s="21" t="n">
        <f aca="false">SQRT(B25)</f>
        <v>0</v>
      </c>
      <c r="D25" s="21" t="n">
        <f aca="false">$E$7*POISSON(A25,$B$7,FALSE())</f>
        <v>0.014226566877594</v>
      </c>
      <c r="E25" s="21" t="n">
        <f aca="false">$E$7*NORMDIST(A25,$B$7,SQRT($B$7),FALSE())</f>
        <v>0.000811713530936361</v>
      </c>
      <c r="F25" s="21" t="n">
        <f aca="false">IF(B25&gt;0,(B25-D25)^2/B25,0)</f>
        <v>0</v>
      </c>
      <c r="G25" s="21" t="n">
        <f aca="false">IF(B25&gt;0,(B25-E25)^2/B25,0)</f>
        <v>0</v>
      </c>
      <c r="H25" s="20" t="n">
        <v>36</v>
      </c>
      <c r="I25" s="9" t="n">
        <f aca="false">COUNTIF(SoLieuTho!$F$9:$F$108,H25)</f>
        <v>4</v>
      </c>
      <c r="J25" s="21" t="n">
        <f aca="false">SQRT(I25)</f>
        <v>2</v>
      </c>
      <c r="K25" s="21" t="n">
        <f aca="false">$L$7*POISSON(H25,$I$7,FALSE())</f>
        <v>4.69606235372521</v>
      </c>
      <c r="L25" s="21" t="n">
        <f aca="false">$L$7*NORMDIST(H25,$I$7,SQRT($I$7),FALSE())</f>
        <v>4.46489566870945</v>
      </c>
      <c r="M25" s="21" t="n">
        <f aca="false">IF(I25&gt;0,(I25-K25)^2/I25,0)</f>
        <v>0.121125700068371</v>
      </c>
      <c r="N25" s="21" t="n">
        <f aca="false">IF(I25&gt;0,(I25-L25)^2/I25,0)</f>
        <v>0.054031995696201</v>
      </c>
      <c r="O25" s="20" t="n">
        <v>91</v>
      </c>
      <c r="P25" s="9" t="n">
        <f aca="false">COUNTIF(SoLieuTho!$I$9:$I$108,O25)</f>
        <v>0</v>
      </c>
      <c r="Q25" s="21" t="n">
        <f aca="false">SQRT(P25)</f>
        <v>0</v>
      </c>
      <c r="R25" s="21" t="n">
        <f aca="false">$S$7*POISSON(O25,$P$7,FALSE())</f>
        <v>0.491306333755106</v>
      </c>
      <c r="S25" s="21" t="n">
        <f aca="false">$S$7*NORMDIST(O25,$P$7,SQRT($P$7),FALSE())</f>
        <v>0.509153036857731</v>
      </c>
      <c r="T25" s="21" t="n">
        <f aca="false">IF(P25&gt;0,(P25-R25)^2/P25,0)</f>
        <v>0</v>
      </c>
      <c r="U25" s="21" t="n">
        <f aca="false">IF(P25&gt;0,(P25-S25)^2/P25,0)</f>
        <v>0</v>
      </c>
    </row>
    <row r="26" customFormat="false" ht="15" hidden="false" customHeight="false" outlineLevel="0" collapsed="false">
      <c r="A26" s="35" t="s">
        <v>179</v>
      </c>
      <c r="B26" s="36" t="n">
        <f aca="false">SUM(B9:B25)</f>
        <v>100</v>
      </c>
      <c r="C26" s="37"/>
      <c r="D26" s="27" t="n">
        <f aca="false">SUM(D9:D25)</f>
        <v>99.9933990793434</v>
      </c>
      <c r="E26" s="27" t="n">
        <f aca="false">SUM(E9:E25)</f>
        <v>99.5083469881363</v>
      </c>
      <c r="F26" s="27" t="n">
        <f aca="false">SUM(F9:F25)</f>
        <v>28.2520436749646</v>
      </c>
      <c r="G26" s="27" t="n">
        <f aca="false">SUM(G9:G25)</f>
        <v>35.5478237618148</v>
      </c>
      <c r="H26" s="20" t="n">
        <v>37</v>
      </c>
      <c r="I26" s="9" t="n">
        <f aca="false">COUNTIF(SoLieuTho!$F$9:$F$108,H26)</f>
        <v>5</v>
      </c>
      <c r="J26" s="21" t="n">
        <f aca="false">SQRT(I26)</f>
        <v>2.23606797749979</v>
      </c>
      <c r="K26" s="21" t="n">
        <f aca="false">$L$7*POISSON(H26,$I$7,FALSE())</f>
        <v>5.2316673032582</v>
      </c>
      <c r="L26" s="21" t="n">
        <f aca="false">$L$7*NORMDIST(H26,$I$7,SQRT($I$7),FALSE())</f>
        <v>5.00658160681711</v>
      </c>
      <c r="M26" s="21" t="n">
        <f aca="false">IF(I26&gt;0,(I26-K26)^2/I26,0)</f>
        <v>0.010733947879785</v>
      </c>
      <c r="N26" s="21" t="n">
        <f aca="false">IF(I26&gt;0,(I26-L26)^2/I26,0)</f>
        <v>8.66350965900827E-006</v>
      </c>
      <c r="O26" s="20" t="n">
        <v>92</v>
      </c>
      <c r="P26" s="9" t="n">
        <f aca="false">COUNTIF(SoLieuTho!$I$9:$I$108,O26)</f>
        <v>0</v>
      </c>
      <c r="Q26" s="21" t="n">
        <f aca="false">SQRT(P26)</f>
        <v>0</v>
      </c>
      <c r="R26" s="21" t="n">
        <f aca="false">$S$7*POISSON(O26,$P$7,FALSE())</f>
        <v>0.599126712869406</v>
      </c>
      <c r="S26" s="21" t="n">
        <f aca="false">$S$7*NORMDIST(O26,$P$7,SQRT($P$7),FALSE())</f>
        <v>0.612266669368814</v>
      </c>
      <c r="T26" s="21" t="n">
        <f aca="false">IF(P26&gt;0,(P26-R26)^2/P26,0)</f>
        <v>0</v>
      </c>
      <c r="U26" s="21" t="n">
        <f aca="false">IF(P26&gt;0,(P26-S26)^2/P26,0)</f>
        <v>0</v>
      </c>
    </row>
    <row r="27" customFormat="false" ht="15" hidden="false" customHeight="false" outlineLevel="0" collapsed="false">
      <c r="A27" s="38" t="s">
        <v>180</v>
      </c>
      <c r="B27" s="24" t="n">
        <f aca="false">COUNTIF(B9:B25,"&gt;0")</f>
        <v>11</v>
      </c>
      <c r="H27" s="20" t="n">
        <v>38</v>
      </c>
      <c r="I27" s="9" t="n">
        <f aca="false">COUNTIF(SoLieuTho!$F$9:$F$108,H27)</f>
        <v>4</v>
      </c>
      <c r="J27" s="21" t="n">
        <f aca="false">SQRT(I27)</f>
        <v>2</v>
      </c>
      <c r="K27" s="21" t="n">
        <f aca="false">$L$7*POISSON(H27,$I$7,FALSE())</f>
        <v>5.67498226948165</v>
      </c>
      <c r="L27" s="21" t="n">
        <f aca="false">$L$7*NORMDIST(H27,$I$7,SQRT($I$7),FALSE())</f>
        <v>5.47942857506043</v>
      </c>
      <c r="M27" s="21" t="n">
        <f aca="false">IF(I27&gt;0,(I27-K27)^2/I27,0)</f>
        <v>0.701391400769478</v>
      </c>
      <c r="N27" s="21" t="n">
        <f aca="false">IF(I27&gt;0,(I27-L27)^2/I27,0)</f>
        <v>0.547177227176334</v>
      </c>
      <c r="O27" s="20" t="n">
        <v>93</v>
      </c>
      <c r="P27" s="9" t="n">
        <f aca="false">COUNTIF(SoLieuTho!$I$9:$I$108,O27)</f>
        <v>1</v>
      </c>
      <c r="Q27" s="21" t="n">
        <f aca="false">SQRT(P27)</f>
        <v>1</v>
      </c>
      <c r="R27" s="21" t="n">
        <f aca="false">$S$7*POISSON(O27,$P$7,FALSE())</f>
        <v>0.722752966847512</v>
      </c>
      <c r="S27" s="21" t="n">
        <f aca="false">$S$7*NORMDIST(O27,$P$7,SQRT($P$7),FALSE())</f>
        <v>0.729729385179349</v>
      </c>
      <c r="T27" s="21" t="n">
        <f aca="false">IF(P27&gt;0,(P27-R27)^2/P27,0)</f>
        <v>0.0768659173918567</v>
      </c>
      <c r="U27" s="21" t="n">
        <f aca="false">IF(P27&gt;0,(P27-S27)^2/P27,0)</f>
        <v>0.073046205235533</v>
      </c>
    </row>
    <row r="28" customFormat="false" ht="15" hidden="false" customHeight="false" outlineLevel="0" collapsed="false">
      <c r="H28" s="20" t="n">
        <v>39</v>
      </c>
      <c r="I28" s="9" t="n">
        <f aca="false">COUNTIF(SoLieuTho!$F$9:$F$108,H28)</f>
        <v>7</v>
      </c>
      <c r="J28" s="21" t="n">
        <f aca="false">SQRT(I28)</f>
        <v>2.64575131106459</v>
      </c>
      <c r="K28" s="21" t="n">
        <f aca="false">$L$7*POISSON(H28,$I$7,FALSE())</f>
        <v>5.99801972174446</v>
      </c>
      <c r="L28" s="21" t="n">
        <f aca="false">$L$7*NORMDIST(H28,$I$7,SQRT($I$7),FALSE())</f>
        <v>5.85319815874443</v>
      </c>
      <c r="M28" s="21" t="n">
        <f aca="false">IF(I28&gt;0,(I28-K28)^2/I28,0)</f>
        <v>0.143423496859008</v>
      </c>
      <c r="N28" s="21" t="n">
        <f aca="false">IF(I28&gt;0,(I28-L28)^2/I28,0)</f>
        <v>0.187879209015311</v>
      </c>
      <c r="O28" s="20" t="n">
        <v>94</v>
      </c>
      <c r="P28" s="9" t="n">
        <f aca="false">COUNTIF(SoLieuTho!$I$9:$I$108,O28)</f>
        <v>3</v>
      </c>
      <c r="Q28" s="21" t="n">
        <f aca="false">SQRT(P28)</f>
        <v>1.73205080756888</v>
      </c>
      <c r="R28" s="21" t="n">
        <f aca="false">$S$7*POISSON(O28,$P$7,FALSE())</f>
        <v>0.862613354793855</v>
      </c>
      <c r="S28" s="21" t="n">
        <f aca="false">$S$7*NORMDIST(O28,$P$7,SQRT($P$7),FALSE())</f>
        <v>0.862009376395798</v>
      </c>
      <c r="T28" s="21" t="n">
        <f aca="false">IF(P28&gt;0,(P28-R28)^2/P28,0)</f>
        <v>1.52280722370186</v>
      </c>
      <c r="U28" s="21" t="n">
        <f aca="false">IF(P28&gt;0,(P28-S28)^2/P28,0)</f>
        <v>1.52366796887316</v>
      </c>
    </row>
    <row r="29" customFormat="false" ht="15" hidden="false" customHeight="false" outlineLevel="0" collapsed="false">
      <c r="H29" s="20" t="n">
        <v>40</v>
      </c>
      <c r="I29" s="9" t="n">
        <f aca="false">COUNTIF(SoLieuTho!$F$9:$F$108,H29)</f>
        <v>5</v>
      </c>
      <c r="J29" s="21" t="n">
        <f aca="false">SQRT(I29)</f>
        <v>2.23606797749979</v>
      </c>
      <c r="K29" s="21" t="n">
        <f aca="false">$L$7*POISSON(H29,$I$7,FALSE())</f>
        <v>6.18095932325766</v>
      </c>
      <c r="L29" s="21" t="n">
        <f aca="false">$L$7*NORMDIST(H29,$I$7,SQRT($I$7),FALSE())</f>
        <v>6.10260373859204</v>
      </c>
      <c r="M29" s="21" t="n">
        <f aca="false">IF(I29&gt;0,(I29-K29)^2/I29,0)</f>
        <v>0.278932984637838</v>
      </c>
      <c r="N29" s="21" t="n">
        <f aca="false">IF(I29&gt;0,(I29-L29)^2/I29,0)</f>
        <v>0.243147000871427</v>
      </c>
      <c r="O29" s="20" t="n">
        <v>95</v>
      </c>
      <c r="P29" s="9" t="n">
        <f aca="false">COUNTIF(SoLieuTho!$I$9:$I$108,O29)</f>
        <v>2</v>
      </c>
      <c r="Q29" s="21" t="n">
        <f aca="false">SQRT(P29)</f>
        <v>1.4142135623731</v>
      </c>
      <c r="R29" s="21" t="n">
        <f aca="false">$S$7*POISSON(O29,$P$7,FALSE())</f>
        <v>1.01870097130866</v>
      </c>
      <c r="S29" s="21" t="n">
        <f aca="false">$S$7*NORMDIST(O29,$P$7,SQRT($P$7),FALSE())</f>
        <v>1.00923216254952</v>
      </c>
      <c r="T29" s="21" t="n">
        <f aca="false">IF(P29&gt;0,(P29-R29)^2/P29,0)</f>
        <v>0.481473891855284</v>
      </c>
      <c r="U29" s="21" t="n">
        <f aca="false">IF(P29&gt;0,(P29-S29)^2/P29,0)</f>
        <v>0.490810453863152</v>
      </c>
    </row>
    <row r="30" customFormat="false" ht="15" hidden="false" customHeight="false" outlineLevel="0" collapsed="false">
      <c r="H30" s="20" t="n">
        <v>41</v>
      </c>
      <c r="I30" s="9" t="n">
        <f aca="false">COUNTIF(SoLieuTho!$F$9:$F$108,H30)</f>
        <v>3</v>
      </c>
      <c r="J30" s="21" t="n">
        <f aca="false">SQRT(I30)</f>
        <v>1.73205080756888</v>
      </c>
      <c r="K30" s="21" t="n">
        <f aca="false">$L$7*POISSON(H30,$I$7,FALSE())</f>
        <v>6.21412544645563</v>
      </c>
      <c r="L30" s="21" t="n">
        <f aca="false">$L$7*NORMDIST(H30,$I$7,SQRT($I$7),FALSE())</f>
        <v>6.21013584811117</v>
      </c>
      <c r="M30" s="21" t="n">
        <f aca="false">IF(I30&gt;0,(I30-K30)^2/I30,0)</f>
        <v>3.44353412851787</v>
      </c>
      <c r="N30" s="21" t="n">
        <f aca="false">IF(I30&gt;0,(I30-L30)^2/I30,0)</f>
        <v>3.43499072110948</v>
      </c>
      <c r="O30" s="20" t="n">
        <v>96</v>
      </c>
      <c r="P30" s="9" t="n">
        <f aca="false">COUNTIF(SoLieuTho!$I$9:$I$108,O30)</f>
        <v>0</v>
      </c>
      <c r="Q30" s="21" t="n">
        <f aca="false">SQRT(P30)</f>
        <v>0</v>
      </c>
      <c r="R30" s="21" t="n">
        <f aca="false">$S$7*POISSON(O30,$P$7,FALSE())</f>
        <v>1.19050064553248</v>
      </c>
      <c r="S30" s="21" t="n">
        <f aca="false">$S$7*NORMDIST(O30,$P$7,SQRT($P$7),FALSE())</f>
        <v>1.17111383742758</v>
      </c>
      <c r="T30" s="21" t="n">
        <f aca="false">IF(P30&gt;0,(P30-R30)^2/P30,0)</f>
        <v>0</v>
      </c>
      <c r="U30" s="21" t="n">
        <f aca="false">IF(P30&gt;0,(P30-S30)^2/P30,0)</f>
        <v>0</v>
      </c>
    </row>
    <row r="31" customFormat="false" ht="15" hidden="false" customHeight="false" outlineLevel="0" collapsed="false">
      <c r="H31" s="20" t="n">
        <v>42</v>
      </c>
      <c r="I31" s="9" t="n">
        <f aca="false">COUNTIF(SoLieuTho!$F$9:$F$108,H31)</f>
        <v>6</v>
      </c>
      <c r="J31" s="21" t="n">
        <f aca="false">SQRT(I31)</f>
        <v>2.44948974278318</v>
      </c>
      <c r="K31" s="21" t="n">
        <f aca="false">$L$7*POISSON(H31,$I$7,FALSE())</f>
        <v>6.09872025959288</v>
      </c>
      <c r="L31" s="21" t="n">
        <f aca="false">$L$7*NORMDIST(H31,$I$7,SQRT($I$7),FALSE())</f>
        <v>6.16809447059775</v>
      </c>
      <c r="M31" s="21" t="n">
        <f aca="false">IF(I31&gt;0,(I31-K31)^2/I31,0)</f>
        <v>0.00162428160901429</v>
      </c>
      <c r="N31" s="21" t="n">
        <f aca="false">IF(I31&gt;0,(I31-L31)^2/I31,0)</f>
        <v>0.00470929184092273</v>
      </c>
      <c r="O31" s="20" t="n">
        <v>97</v>
      </c>
      <c r="P31" s="9" t="n">
        <f aca="false">COUNTIF(SoLieuTho!$I$9:$I$108,O31)</f>
        <v>2</v>
      </c>
      <c r="Q31" s="21" t="n">
        <f aca="false">SQRT(P31)</f>
        <v>1.4142135623731</v>
      </c>
      <c r="R31" s="21" t="n">
        <f aca="false">$S$7*POISSON(O31,$P$7,FALSE())</f>
        <v>1.37693059198237</v>
      </c>
      <c r="S31" s="21" t="n">
        <f aca="false">$S$7*NORMDIST(O31,$P$7,SQRT($P$7),FALSE())</f>
        <v>1.34690225585639</v>
      </c>
      <c r="T31" s="21" t="n">
        <f aca="false">IF(P31&gt;0,(P31-R31)^2/P31,0)</f>
        <v>0.194107743603723</v>
      </c>
      <c r="U31" s="21" t="n">
        <f aca="false">IF(P31&gt;0,(P31-S31)^2/P31,0)</f>
        <v>0.213268331702739</v>
      </c>
    </row>
    <row r="32" customFormat="false" ht="15" hidden="false" customHeight="false" outlineLevel="0" collapsed="false">
      <c r="H32" s="20" t="n">
        <v>43</v>
      </c>
      <c r="I32" s="9" t="n">
        <f aca="false">COUNTIF(SoLieuTho!$F$9:$F$108,H32)</f>
        <v>3</v>
      </c>
      <c r="J32" s="21" t="n">
        <f aca="false">SQRT(I32)</f>
        <v>1.73205080756888</v>
      </c>
      <c r="K32" s="21" t="n">
        <f aca="false">$L$7*POISSON(H32,$I$7,FALSE())</f>
        <v>5.84626160698648</v>
      </c>
      <c r="L32" s="21" t="n">
        <f aca="false">$L$7*NORMDIST(H32,$I$7,SQRT($I$7),FALSE())</f>
        <v>5.97950067576545</v>
      </c>
      <c r="M32" s="21" t="n">
        <f aca="false">IF(I32&gt;0,(I32-K32)^2/I32,0)</f>
        <v>2.70040171180175</v>
      </c>
      <c r="N32" s="21" t="n">
        <f aca="false">IF(I32&gt;0,(I32-L32)^2/I32,0)</f>
        <v>2.95914142562892</v>
      </c>
      <c r="O32" s="20" t="n">
        <v>98</v>
      </c>
      <c r="P32" s="9" t="n">
        <f aca="false">COUNTIF(SoLieuTho!$I$9:$I$108,O32)</f>
        <v>1</v>
      </c>
      <c r="Q32" s="21" t="n">
        <f aca="false">SQRT(P32)</f>
        <v>1</v>
      </c>
      <c r="R32" s="21" t="n">
        <f aca="false">$S$7*POISSON(O32,$P$7,FALSE())</f>
        <v>1.57630452157655</v>
      </c>
      <c r="S32" s="21" t="n">
        <f aca="false">$S$7*NORMDIST(O32,$P$7,SQRT($P$7),FALSE())</f>
        <v>1.53533088304815</v>
      </c>
      <c r="T32" s="21" t="n">
        <f aca="false">IF(P32&gt;0,(P32-R32)^2/P32,0)</f>
        <v>0.332126901589571</v>
      </c>
      <c r="U32" s="21" t="n">
        <f aca="false">IF(P32&gt;0,(P32-S32)^2/P32,0)</f>
        <v>0.286579154345109</v>
      </c>
    </row>
    <row r="33" customFormat="false" ht="15" hidden="false" customHeight="false" outlineLevel="0" collapsed="false">
      <c r="H33" s="20" t="n">
        <v>44</v>
      </c>
      <c r="I33" s="9" t="n">
        <f aca="false">COUNTIF(SoLieuTho!$F$9:$F$108,H33)</f>
        <v>1</v>
      </c>
      <c r="J33" s="21" t="n">
        <f aca="false">SQRT(I33)</f>
        <v>1</v>
      </c>
      <c r="K33" s="21" t="n">
        <f aca="false">$L$7*POISSON(H33,$I$7,FALSE())</f>
        <v>5.47688416909051</v>
      </c>
      <c r="L33" s="21" t="n">
        <f aca="false">$L$7*NORMDIST(H33,$I$7,SQRT($I$7),FALSE())</f>
        <v>5.65773768810119</v>
      </c>
      <c r="M33" s="21" t="n">
        <f aca="false">IF(I33&gt;0,(I33-K33)^2/I33,0)</f>
        <v>20.0424918634533</v>
      </c>
      <c r="N33" s="21" t="n">
        <f aca="false">IF(I33&gt;0,(I33-L33)^2/I33,0)</f>
        <v>21.6945203711582</v>
      </c>
      <c r="O33" s="20" t="n">
        <v>99</v>
      </c>
      <c r="P33" s="9" t="n">
        <f aca="false">COUNTIF(SoLieuTho!$I$9:$I$108,O33)</f>
        <v>0</v>
      </c>
      <c r="Q33" s="21" t="n">
        <f aca="false">SQRT(P33)</f>
        <v>0</v>
      </c>
      <c r="R33" s="21" t="n">
        <f aca="false">$S$7*POISSON(O33,$P$7,FALSE())</f>
        <v>1.7863192351078</v>
      </c>
      <c r="S33" s="21" t="n">
        <f aca="false">$S$7*NORMDIST(O33,$P$7,SQRT($P$7),FALSE())</f>
        <v>1.73458996269776</v>
      </c>
      <c r="T33" s="21" t="n">
        <f aca="false">IF(P33&gt;0,(P33-R33)^2/P33,0)</f>
        <v>0</v>
      </c>
      <c r="U33" s="21" t="n">
        <f aca="false">IF(P33&gt;0,(P33-S33)^2/P33,0)</f>
        <v>0</v>
      </c>
    </row>
    <row r="34" customFormat="false" ht="15" hidden="false" customHeight="false" outlineLevel="0" collapsed="false">
      <c r="H34" s="20" t="n">
        <v>45</v>
      </c>
      <c r="I34" s="9" t="n">
        <f aca="false">COUNTIF(SoLieuTho!$F$9:$F$108,H34)</f>
        <v>6</v>
      </c>
      <c r="J34" s="21" t="n">
        <f aca="false">SQRT(I34)</f>
        <v>2.44948974278318</v>
      </c>
      <c r="K34" s="21" t="n">
        <f aca="false">$L$7*POISSON(H34,$I$7,FALSE())</f>
        <v>5.01682589888691</v>
      </c>
      <c r="L34" s="21" t="n">
        <f aca="false">$L$7*NORMDIST(H34,$I$7,SQRT($I$7),FALSE())</f>
        <v>5.2249806148095</v>
      </c>
      <c r="M34" s="21" t="n">
        <f aca="false">IF(I34&gt;0,(I34-K34)^2/I34,0)</f>
        <v>0.161105218849922</v>
      </c>
      <c r="N34" s="21" t="n">
        <f aca="false">IF(I34&gt;0,(I34-L34)^2/I34,0)</f>
        <v>0.100109174570177</v>
      </c>
      <c r="O34" s="20" t="n">
        <v>100</v>
      </c>
      <c r="P34" s="9" t="n">
        <f aca="false">COUNTIF(SoLieuTho!$I$9:$I$108,O34)</f>
        <v>1</v>
      </c>
      <c r="Q34" s="21" t="n">
        <f aca="false">SQRT(P34)</f>
        <v>1</v>
      </c>
      <c r="R34" s="21" t="n">
        <f aca="false">$S$7*POISSON(O34,$P$7,FALSE())</f>
        <v>2.00407154986745</v>
      </c>
      <c r="S34" s="21" t="n">
        <f aca="false">$S$7*NORMDIST(O34,$P$7,SQRT($P$7),FALSE())</f>
        <v>1.94231922965438</v>
      </c>
      <c r="T34" s="21" t="n">
        <f aca="false">IF(P34&gt;0,(P34-R34)^2/P34,0)</f>
        <v>1.00815967725322</v>
      </c>
      <c r="U34" s="21" t="n">
        <f aca="false">IF(P34&gt;0,(P34-S34)^2/P34,0)</f>
        <v>0.887965530576431</v>
      </c>
    </row>
    <row r="35" customFormat="false" ht="15" hidden="false" customHeight="false" outlineLevel="0" collapsed="false">
      <c r="H35" s="20" t="n">
        <v>46</v>
      </c>
      <c r="I35" s="9" t="n">
        <f aca="false">COUNTIF(SoLieuTho!$F$9:$F$108,H35)</f>
        <v>6</v>
      </c>
      <c r="J35" s="21" t="n">
        <f aca="false">SQRT(I35)</f>
        <v>2.44948974278318</v>
      </c>
      <c r="K35" s="21" t="n">
        <f aca="false">$L$7*POISSON(H35,$I$7,FALSE())</f>
        <v>4.49551225113301</v>
      </c>
      <c r="L35" s="21" t="n">
        <f aca="false">$L$7*NORMDIST(H35,$I$7,SQRT($I$7),FALSE())</f>
        <v>4.70967073069381</v>
      </c>
      <c r="M35" s="21" t="n">
        <f aca="false">IF(I35&gt;0,(I35-K35)^2/I35,0)</f>
        <v>0.377247231081811</v>
      </c>
      <c r="N35" s="21" t="n">
        <f aca="false">IF(I35&gt;0,(I35-L35)^2/I35,0)</f>
        <v>0.277491603871375</v>
      </c>
      <c r="O35" s="20" t="n">
        <v>101</v>
      </c>
      <c r="P35" s="9" t="n">
        <f aca="false">COUNTIF(SoLieuTho!$I$9:$I$108,O35)</f>
        <v>2</v>
      </c>
      <c r="Q35" s="21" t="n">
        <f aca="false">SQRT(P35)</f>
        <v>1.4142135623731</v>
      </c>
      <c r="R35" s="21" t="n">
        <f aca="false">$S$7*POISSON(O35,$P$7,FALSE())</f>
        <v>2.2261068037587</v>
      </c>
      <c r="S35" s="21" t="n">
        <f aca="false">$S$7*NORMDIST(O35,$P$7,SQRT($P$7),FALSE())</f>
        <v>2.15562557919522</v>
      </c>
      <c r="T35" s="21" t="n">
        <f aca="false">IF(P35&gt;0,(P35-R35)^2/P35,0)</f>
        <v>0.0255621433529878</v>
      </c>
      <c r="U35" s="21" t="n">
        <f aca="false">IF(P35&gt;0,(P35-S35)^2/P35,0)</f>
        <v>0.0121096604499242</v>
      </c>
    </row>
    <row r="36" customFormat="false" ht="15" hidden="false" customHeight="false" outlineLevel="0" collapsed="false">
      <c r="H36" s="20" t="n">
        <v>47</v>
      </c>
      <c r="I36" s="9" t="n">
        <f aca="false">COUNTIF(SoLieuTho!$F$9:$F$108,H36)</f>
        <v>9</v>
      </c>
      <c r="J36" s="21" t="n">
        <f aca="false">SQRT(I36)</f>
        <v>3</v>
      </c>
      <c r="K36" s="21" t="n">
        <f aca="false">$L$7*POISSON(H36,$I$7,FALSE())</f>
        <v>3.94265989344048</v>
      </c>
      <c r="L36" s="21" t="n">
        <f aca="false">$L$7*NORMDIST(H36,$I$7,SQRT($I$7),FALSE())</f>
        <v>4.14343369234547</v>
      </c>
      <c r="M36" s="21" t="n">
        <f aca="false">IF(I36&gt;0,(I36-K36)^2/I36,0)</f>
        <v>2.84185432815727</v>
      </c>
      <c r="N36" s="21" t="n">
        <f aca="false">IF(I36&gt;0,(I36-L36)^2/I36,0)</f>
        <v>2.62069292229391</v>
      </c>
      <c r="O36" s="20" t="n">
        <v>102</v>
      </c>
      <c r="P36" s="9" t="n">
        <f aca="false">COUNTIF(SoLieuTho!$I$9:$I$108,O36)</f>
        <v>3</v>
      </c>
      <c r="Q36" s="21" t="n">
        <f aca="false">SQRT(P36)</f>
        <v>1.73205080756888</v>
      </c>
      <c r="R36" s="21" t="n">
        <f aca="false">$S$7*POISSON(O36,$P$7,FALSE())</f>
        <v>2.4484992383695</v>
      </c>
      <c r="S36" s="21" t="n">
        <f aca="false">$S$7*NORMDIST(O36,$P$7,SQRT($P$7),FALSE())</f>
        <v>2.37112792140448</v>
      </c>
      <c r="T36" s="21" t="n">
        <f aca="false">IF(P36&gt;0,(P36-R36)^2/P36,0)</f>
        <v>0.101384363359675</v>
      </c>
      <c r="U36" s="21" t="n">
        <f aca="false">IF(P36&gt;0,(P36-S36)^2/P36,0)</f>
        <v>0.131826697079017</v>
      </c>
    </row>
    <row r="37" customFormat="false" ht="15" hidden="false" customHeight="false" outlineLevel="0" collapsed="false">
      <c r="H37" s="20" t="n">
        <v>48</v>
      </c>
      <c r="I37" s="9" t="n">
        <f aca="false">COUNTIF(SoLieuTho!$F$9:$F$108,H37)</f>
        <v>0</v>
      </c>
      <c r="J37" s="21" t="n">
        <f aca="false">SQRT(I37)</f>
        <v>0</v>
      </c>
      <c r="K37" s="21" t="n">
        <f aca="false">$L$7*POISSON(H37,$I$7,FALSE())</f>
        <v>3.38575918349201</v>
      </c>
      <c r="L37" s="21" t="n">
        <f aca="false">$L$7*NORMDIST(H37,$I$7,SQRT($I$7),FALSE())</f>
        <v>3.55790401546894</v>
      </c>
      <c r="M37" s="21" t="n">
        <f aca="false">IF(I37&gt;0,(I37-K37)^2/I37,0)</f>
        <v>0</v>
      </c>
      <c r="N37" s="21" t="n">
        <f aca="false">IF(I37&gt;0,(I37-L37)^2/I37,0)</f>
        <v>0</v>
      </c>
      <c r="O37" s="20" t="n">
        <v>103</v>
      </c>
      <c r="P37" s="9" t="n">
        <f aca="false">COUNTIF(SoLieuTho!$I$9:$I$108,O37)</f>
        <v>2</v>
      </c>
      <c r="Q37" s="21" t="n">
        <f aca="false">SQRT(P37)</f>
        <v>1.4142135623731</v>
      </c>
      <c r="R37" s="21" t="n">
        <f aca="false">$S$7*POISSON(O37,$P$7,FALSE())</f>
        <v>2.66696242284149</v>
      </c>
      <c r="S37" s="21" t="n">
        <f aca="false">$S$7*NORMDIST(O37,$P$7,SQRT($P$7),FALSE())</f>
        <v>2.58502994616385</v>
      </c>
      <c r="T37" s="21" t="n">
        <f aca="false">IF(P37&gt;0,(P37-R37)^2/P37,0)</f>
        <v>0.222419436741297</v>
      </c>
      <c r="U37" s="21" t="n">
        <f aca="false">IF(P37&gt;0,(P37-S37)^2/P37,0)</f>
        <v>0.171130018954237</v>
      </c>
    </row>
    <row r="38" customFormat="false" ht="15" hidden="false" customHeight="false" outlineLevel="0" collapsed="false">
      <c r="H38" s="20" t="n">
        <v>49</v>
      </c>
      <c r="I38" s="9" t="n">
        <f aca="false">COUNTIF(SoLieuTho!$F$9:$F$108,H38)</f>
        <v>4</v>
      </c>
      <c r="J38" s="21" t="n">
        <f aca="false">SQRT(I38)</f>
        <v>2</v>
      </c>
      <c r="K38" s="21" t="n">
        <f aca="false">$L$7*POISSON(H38,$I$7,FALSE())</f>
        <v>2.84818354170492</v>
      </c>
      <c r="L38" s="21" t="n">
        <f aca="false">$L$7*NORMDIST(H38,$I$7,SQRT($I$7),FALSE())</f>
        <v>2.98189295085713</v>
      </c>
      <c r="M38" s="21" t="n">
        <f aca="false">IF(I38&gt;0,(I38-K38)^2/I38,0)</f>
        <v>0.331670288399858</v>
      </c>
      <c r="N38" s="21" t="n">
        <f aca="false">IF(I38&gt;0,(I38-L38)^2/I38,0)</f>
        <v>0.259135490878603</v>
      </c>
      <c r="O38" s="20" t="n">
        <v>104</v>
      </c>
      <c r="P38" s="9" t="n">
        <f aca="false">COUNTIF(SoLieuTho!$I$9:$I$108,O38)</f>
        <v>3</v>
      </c>
      <c r="Q38" s="21" t="n">
        <f aca="false">SQRT(P38)</f>
        <v>1.73205080756888</v>
      </c>
      <c r="R38" s="21" t="n">
        <f aca="false">$S$7*POISSON(O38,$P$7,FALSE())</f>
        <v>2.87698571364026</v>
      </c>
      <c r="S38" s="21" t="n">
        <f aca="false">$S$7*NORMDIST(O38,$P$7,SQRT($P$7),FALSE())</f>
        <v>2.79321978832768</v>
      </c>
      <c r="T38" s="21" t="n">
        <f aca="false">IF(P38&gt;0,(P38-R38)^2/P38,0)</f>
        <v>0.00504417154953199</v>
      </c>
      <c r="U38" s="21" t="n">
        <f aca="false">IF(P38&gt;0,(P38-S38)^2/P38,0)</f>
        <v>0.0142526853130831</v>
      </c>
    </row>
    <row r="39" customFormat="false" ht="15" hidden="false" customHeight="false" outlineLevel="0" collapsed="false">
      <c r="H39" s="20" t="n">
        <v>50</v>
      </c>
      <c r="I39" s="9" t="n">
        <f aca="false">COUNTIF(SoLieuTho!$F$9:$F$108,H39)</f>
        <v>1</v>
      </c>
      <c r="J39" s="21" t="n">
        <f aca="false">SQRT(I39)</f>
        <v>1</v>
      </c>
      <c r="K39" s="21" t="n">
        <f aca="false">$L$7*POISSON(H39,$I$7,FALSE())</f>
        <v>2.34804251178153</v>
      </c>
      <c r="L39" s="21" t="n">
        <f aca="false">$L$7*NORMDIST(H39,$I$7,SQRT($I$7),FALSE())</f>
        <v>2.43923619341718</v>
      </c>
      <c r="M39" s="21" t="n">
        <f aca="false">IF(I39&gt;0,(I39-K39)^2/I39,0)</f>
        <v>1.81721861357026</v>
      </c>
      <c r="N39" s="21" t="n">
        <f aca="false">IF(I39&gt;0,(I39-L39)^2/I39,0)</f>
        <v>2.07140082044198</v>
      </c>
      <c r="O39" s="20" t="n">
        <v>105</v>
      </c>
      <c r="P39" s="9" t="n">
        <f aca="false">COUNTIF(SoLieuTho!$I$9:$I$108,O39)</f>
        <v>4</v>
      </c>
      <c r="Q39" s="21" t="n">
        <f aca="false">SQRT(P39)</f>
        <v>2</v>
      </c>
      <c r="R39" s="21" t="n">
        <f aca="false">$S$7*POISSON(O39,$P$7,FALSE())</f>
        <v>3.07399073536477</v>
      </c>
      <c r="S39" s="21" t="n">
        <f aca="false">$S$7*NORMDIST(O39,$P$7,SQRT($P$7),FALSE())</f>
        <v>2.99139373223623</v>
      </c>
      <c r="T39" s="21" t="n">
        <f aca="false">IF(P39&gt;0,(P39-R39)^2/P39,0)</f>
        <v>0.21437328954757</v>
      </c>
      <c r="U39" s="21" t="n">
        <f aca="false">IF(P39&gt;0,(P39-S39)^2/P39,0)</f>
        <v>0.254321650843088</v>
      </c>
    </row>
    <row r="40" customFormat="false" ht="15" hidden="false" customHeight="false" outlineLevel="0" collapsed="false">
      <c r="H40" s="20" t="n">
        <v>51</v>
      </c>
      <c r="I40" s="9" t="n">
        <f aca="false">COUNTIF(SoLieuTho!$F$9:$F$108,H40)</f>
        <v>5</v>
      </c>
      <c r="J40" s="21" t="n">
        <f aca="false">SQRT(I40)</f>
        <v>2.23606797749979</v>
      </c>
      <c r="K40" s="21" t="n">
        <f aca="false">$L$7*POISSON(H40,$I$7,FALSE())</f>
        <v>1.89777083011049</v>
      </c>
      <c r="L40" s="21" t="n">
        <f aca="false">$L$7*NORMDIST(H40,$I$7,SQRT($I$7),FALSE())</f>
        <v>1.94750978753278</v>
      </c>
      <c r="M40" s="21" t="n">
        <f aca="false">IF(I40&gt;0,(I40-K40)^2/I40,0)</f>
        <v>1.92476516450268</v>
      </c>
      <c r="N40" s="21" t="n">
        <f aca="false">IF(I40&gt;0,(I40-L40)^2/I40,0)</f>
        <v>1.86353929944164</v>
      </c>
      <c r="O40" s="20" t="n">
        <v>106</v>
      </c>
      <c r="P40" s="9" t="n">
        <f aca="false">COUNTIF(SoLieuTho!$I$9:$I$108,O40)</f>
        <v>1</v>
      </c>
      <c r="Q40" s="21" t="n">
        <f aca="false">SQRT(P40)</f>
        <v>1</v>
      </c>
      <c r="R40" s="21" t="n">
        <f aca="false">$S$7*POISSON(O40,$P$7,FALSE())</f>
        <v>3.25350019434503</v>
      </c>
      <c r="S40" s="21" t="n">
        <f aca="false">$S$7*NORMDIST(O40,$P$7,SQRT($P$7),FALSE())</f>
        <v>3.17519927175765</v>
      </c>
      <c r="T40" s="21" t="n">
        <f aca="false">IF(P40&gt;0,(P40-R40)^2/P40,0)</f>
        <v>5.0782631259131</v>
      </c>
      <c r="U40" s="21" t="n">
        <f aca="false">IF(P40&gt;0,(P40-S40)^2/P40,0)</f>
        <v>4.731491871855</v>
      </c>
    </row>
    <row r="41" customFormat="false" ht="15" hidden="false" customHeight="false" outlineLevel="0" collapsed="false">
      <c r="H41" s="20" t="n">
        <v>52</v>
      </c>
      <c r="I41" s="9" t="n">
        <f aca="false">COUNTIF(SoLieuTho!$F$9:$F$108,H41)</f>
        <v>3</v>
      </c>
      <c r="J41" s="21" t="n">
        <f aca="false">SQRT(I41)</f>
        <v>1.73205080756888</v>
      </c>
      <c r="K41" s="21" t="n">
        <f aca="false">$L$7*POISSON(H41,$I$7,FALSE())</f>
        <v>1.50434833879143</v>
      </c>
      <c r="L41" s="21" t="n">
        <f aca="false">$L$7*NORMDIST(H41,$I$7,SQRT($I$7),FALSE())</f>
        <v>1.51764232114317</v>
      </c>
      <c r="M41" s="21" t="n">
        <f aca="false">IF(I41&gt;0,(I41-K41)^2/I41,0)</f>
        <v>0.745657963891988</v>
      </c>
      <c r="N41" s="21" t="n">
        <f aca="false">IF(I41&gt;0,(I41-L41)^2/I41,0)</f>
        <v>0.732461429355272</v>
      </c>
      <c r="O41" s="20" t="n">
        <v>107</v>
      </c>
      <c r="P41" s="9" t="n">
        <f aca="false">COUNTIF(SoLieuTho!$I$9:$I$108,O41)</f>
        <v>2</v>
      </c>
      <c r="Q41" s="21" t="n">
        <f aca="false">SQRT(P41)</f>
        <v>1.4142135623731</v>
      </c>
      <c r="R41" s="21" t="n">
        <f aca="false">$S$7*POISSON(O41,$P$7,FALSE())</f>
        <v>3.4113101570427</v>
      </c>
      <c r="S41" s="21" t="n">
        <f aca="false">$S$7*NORMDIST(O41,$P$7,SQRT($P$7),FALSE())</f>
        <v>3.34039120003999</v>
      </c>
      <c r="T41" s="21" t="n">
        <f aca="false">IF(P41&gt;0,(P41-R41)^2/P41,0)</f>
        <v>0.99589817968595</v>
      </c>
      <c r="U41" s="21" t="n">
        <f aca="false">IF(P41&gt;0,(P41-S41)^2/P41,0)</f>
        <v>0.898324284572326</v>
      </c>
    </row>
    <row r="42" customFormat="false" ht="15" hidden="false" customHeight="false" outlineLevel="0" collapsed="false">
      <c r="H42" s="20" t="n">
        <v>53</v>
      </c>
      <c r="I42" s="9" t="n">
        <f aca="false">COUNTIF(SoLieuTho!$F$9:$F$108,H42)</f>
        <v>0</v>
      </c>
      <c r="J42" s="21" t="n">
        <f aca="false">SQRT(I42)</f>
        <v>0</v>
      </c>
      <c r="K42" s="21" t="n">
        <f aca="false">$L$7*POISSON(H42,$I$7,FALSE())</f>
        <v>1.16998563254684</v>
      </c>
      <c r="L42" s="21" t="n">
        <f aca="false">$L$7*NORMDIST(H42,$I$7,SQRT($I$7),FALSE())</f>
        <v>1.15431195892207</v>
      </c>
      <c r="M42" s="21" t="n">
        <f aca="false">IF(I42&gt;0,(I42-K42)^2/I42,0)</f>
        <v>0</v>
      </c>
      <c r="N42" s="21" t="n">
        <f aca="false">IF(I42&gt;0,(I42-L42)^2/I42,0)</f>
        <v>0</v>
      </c>
      <c r="O42" s="20" t="n">
        <v>108</v>
      </c>
      <c r="P42" s="9" t="n">
        <f aca="false">COUNTIF(SoLieuTho!$I$9:$I$108,O42)</f>
        <v>2</v>
      </c>
      <c r="Q42" s="21" t="n">
        <f aca="false">SQRT(P42)</f>
        <v>1.4142135623731</v>
      </c>
      <c r="R42" s="21" t="n">
        <f aca="false">$S$7*POISSON(O42,$P$7,FALSE())</f>
        <v>3.5436563566539</v>
      </c>
      <c r="S42" s="21" t="n">
        <f aca="false">$S$7*NORMDIST(O42,$P$7,SQRT($P$7),FALSE())</f>
        <v>3.48299309275397</v>
      </c>
      <c r="T42" s="21" t="n">
        <f aca="false">IF(P42&gt;0,(P42-R42)^2/P42,0)</f>
        <v>1.19143747371899</v>
      </c>
      <c r="U42" s="21" t="n">
        <f aca="false">IF(P42&gt;0,(P42-S42)^2/P42,0)</f>
        <v>1.099634256578</v>
      </c>
    </row>
    <row r="43" customFormat="false" ht="15" hidden="false" customHeight="false" outlineLevel="0" collapsed="false">
      <c r="H43" s="20" t="n">
        <v>54</v>
      </c>
      <c r="I43" s="9" t="n">
        <f aca="false">COUNTIF(SoLieuTho!$F$9:$F$108,H43)</f>
        <v>2</v>
      </c>
      <c r="J43" s="21" t="n">
        <f aca="false">SQRT(I43)</f>
        <v>1.4142135623731</v>
      </c>
      <c r="K43" s="21" t="n">
        <f aca="false">$L$7*POISSON(H43,$I$7,FALSE())</f>
        <v>0.893089032844089</v>
      </c>
      <c r="L43" s="21" t="n">
        <f aca="false">$L$7*NORMDIST(H43,$I$7,SQRT($I$7),FALSE())</f>
        <v>0.856921319130013</v>
      </c>
      <c r="M43" s="21" t="n">
        <f aca="false">IF(I43&gt;0,(I43-K43)^2/I43,0)</f>
        <v>0.612625944605017</v>
      </c>
      <c r="N43" s="21" t="n">
        <f aca="false">IF(I43&gt;0,(I43-L43)^2/I43,0)</f>
        <v>0.653314435329735</v>
      </c>
      <c r="O43" s="20" t="n">
        <v>109</v>
      </c>
      <c r="P43" s="9" t="n">
        <f aca="false">COUNTIF(SoLieuTho!$I$9:$I$108,O43)</f>
        <v>4</v>
      </c>
      <c r="Q43" s="21" t="n">
        <f aca="false">SQRT(P43)</f>
        <v>2</v>
      </c>
      <c r="R43" s="21" t="n">
        <f aca="false">$S$7*POISSON(O43,$P$7,FALSE())</f>
        <v>3.64736519865138</v>
      </c>
      <c r="S43" s="21" t="n">
        <f aca="false">$S$7*NORMDIST(O43,$P$7,SQRT($P$7),FALSE())</f>
        <v>3.59945570225948</v>
      </c>
      <c r="T43" s="21" t="n">
        <f aca="false">IF(P43&gt;0,(P43-R43)^2/P43,0)</f>
        <v>0.0310878257805449</v>
      </c>
      <c r="U43" s="21" t="n">
        <f aca="false">IF(P43&gt;0,(P43-S43)^2/P43,0)</f>
        <v>0.0401089336131126</v>
      </c>
    </row>
    <row r="44" customFormat="false" ht="15" hidden="false" customHeight="false" outlineLevel="0" collapsed="false">
      <c r="H44" s="20" t="n">
        <v>55</v>
      </c>
      <c r="I44" s="9" t="n">
        <f aca="false">COUNTIF(SoLieuTho!$F$9:$F$108,H44)</f>
        <v>0</v>
      </c>
      <c r="J44" s="21" t="n">
        <f aca="false">SQRT(I44)</f>
        <v>0</v>
      </c>
      <c r="K44" s="21" t="n">
        <f aca="false">$L$7*POISSON(H44,$I$7,FALSE())</f>
        <v>0.669329635160607</v>
      </c>
      <c r="L44" s="21" t="n">
        <f aca="false">$L$7*NORMDIST(H44,$I$7,SQRT($I$7),FALSE())</f>
        <v>0.620901467980627</v>
      </c>
      <c r="M44" s="21" t="n">
        <f aca="false">IF(I44&gt;0,(I44-K44)^2/I44,0)</f>
        <v>0</v>
      </c>
      <c r="N44" s="21" t="n">
        <f aca="false">IF(I44&gt;0,(I44-L44)^2/I44,0)</f>
        <v>0</v>
      </c>
      <c r="O44" s="20" t="n">
        <v>110</v>
      </c>
      <c r="P44" s="9" t="n">
        <f aca="false">COUNTIF(SoLieuTho!$I$9:$I$108,O44)</f>
        <v>1</v>
      </c>
      <c r="Q44" s="21" t="n">
        <f aca="false">SQRT(P44)</f>
        <v>1</v>
      </c>
      <c r="R44" s="21" t="n">
        <f aca="false">$S$7*POISSON(O44,$P$7,FALSE())</f>
        <v>3.71998092396999</v>
      </c>
      <c r="S44" s="21" t="n">
        <f aca="false">$S$7*NORMDIST(O44,$P$7,SQRT($P$7),FALSE())</f>
        <v>3.68680349746209</v>
      </c>
      <c r="T44" s="21" t="n">
        <f aca="false">IF(P44&gt;0,(P44-R44)^2/P44,0)</f>
        <v>7.39829622676062</v>
      </c>
      <c r="U44" s="21" t="n">
        <f aca="false">IF(P44&gt;0,(P44-S44)^2/P44,0)</f>
        <v>7.21891303397451</v>
      </c>
    </row>
    <row r="45" customFormat="false" ht="15" hidden="false" customHeight="false" outlineLevel="0" collapsed="false">
      <c r="H45" s="20" t="n">
        <v>56</v>
      </c>
      <c r="I45" s="9" t="n">
        <f aca="false">COUNTIF(SoLieuTho!$F$9:$F$108,H45)</f>
        <v>1</v>
      </c>
      <c r="J45" s="21" t="n">
        <f aca="false">SQRT(I45)</f>
        <v>1</v>
      </c>
      <c r="K45" s="21" t="n">
        <f aca="false">$L$7*POISSON(H45,$I$7,FALSE())</f>
        <v>0.492674420737861</v>
      </c>
      <c r="L45" s="21" t="n">
        <f aca="false">$L$7*NORMDIST(H45,$I$7,SQRT($I$7),FALSE())</f>
        <v>0.439105029947629</v>
      </c>
      <c r="M45" s="21" t="n">
        <f aca="false">IF(I45&gt;0,(I45-K45)^2/I45,0)</f>
        <v>0.257379243373665</v>
      </c>
      <c r="N45" s="21" t="n">
        <f aca="false">IF(I45&gt;0,(I45-L45)^2/I45,0)</f>
        <v>0.31460316743005</v>
      </c>
      <c r="O45" s="20" t="n">
        <v>111</v>
      </c>
      <c r="P45" s="9" t="n">
        <f aca="false">COUNTIF(SoLieuTho!$I$9:$I$108,O45)</f>
        <v>3</v>
      </c>
      <c r="Q45" s="21" t="n">
        <f aca="false">SQRT(P45)</f>
        <v>1.73205080756888</v>
      </c>
      <c r="R45" s="21" t="n">
        <f aca="false">$S$7*POISSON(O45,$P$7,FALSE())</f>
        <v>3.75986180054228</v>
      </c>
      <c r="S45" s="21" t="n">
        <f aca="false">$S$7*NORMDIST(O45,$P$7,SQRT($P$7),FALSE())</f>
        <v>3.74276091987765</v>
      </c>
      <c r="T45" s="21" t="n">
        <f aca="false">IF(P45&gt;0,(P45-R45)^2/P45,0)</f>
        <v>0.192463318641117</v>
      </c>
      <c r="U45" s="21" t="n">
        <f aca="false">IF(P45&gt;0,(P45-S45)^2/P45,0)</f>
        <v>0.183897928032498</v>
      </c>
    </row>
    <row r="46" customFormat="false" ht="15" hidden="false" customHeight="false" outlineLevel="0" collapsed="false">
      <c r="H46" s="20" t="n">
        <v>57</v>
      </c>
      <c r="I46" s="9" t="n">
        <f aca="false">COUNTIF(SoLieuTho!$F$9:$F$108,H46)</f>
        <v>0</v>
      </c>
      <c r="J46" s="21" t="n">
        <f aca="false">SQRT(I46)</f>
        <v>0</v>
      </c>
      <c r="K46" s="21" t="n">
        <f aca="false">$L$7*POISSON(H46,$I$7,FALSE())</f>
        <v>0.356281396891485</v>
      </c>
      <c r="L46" s="21" t="n">
        <f aca="false">$L$7*NORMDIST(H46,$I$7,SQRT($I$7),FALSE())</f>
        <v>0.303094547469683</v>
      </c>
      <c r="M46" s="21" t="n">
        <f aca="false">IF(I46&gt;0,(I46-K46)^2/I46,0)</f>
        <v>0</v>
      </c>
      <c r="N46" s="21" t="n">
        <f aca="false">IF(I46&gt;0,(I46-L46)^2/I46,0)</f>
        <v>0</v>
      </c>
      <c r="O46" s="20" t="n">
        <v>112</v>
      </c>
      <c r="P46" s="9" t="n">
        <f aca="false">COUNTIF(SoLieuTho!$I$9:$I$108,O46)</f>
        <v>7</v>
      </c>
      <c r="Q46" s="21" t="n">
        <f aca="false">SQRT(P46)</f>
        <v>2.64575131106459</v>
      </c>
      <c r="R46" s="21" t="n">
        <f aca="false">$S$7*POISSON(O46,$P$7,FALSE())</f>
        <v>3.76624013752534</v>
      </c>
      <c r="S46" s="21" t="n">
        <f aca="false">$S$7*NORMDIST(O46,$P$7,SQRT($P$7),FALSE())</f>
        <v>3.76585088249699</v>
      </c>
      <c r="T46" s="21" t="n">
        <f aca="false">IF(P46&gt;0,(P46-R46)^2/P46,0)</f>
        <v>1.49388612116459</v>
      </c>
      <c r="U46" s="21" t="n">
        <f aca="false">IF(P46&gt;0,(P46-S46)^2/P46,0)</f>
        <v>1.49424578774936</v>
      </c>
    </row>
    <row r="47" customFormat="false" ht="15" hidden="false" customHeight="false" outlineLevel="0" collapsed="false">
      <c r="H47" s="20" t="n">
        <v>58</v>
      </c>
      <c r="I47" s="9" t="n">
        <f aca="false">COUNTIF(SoLieuTho!$F$9:$F$108,H47)</f>
        <v>1</v>
      </c>
      <c r="J47" s="21" t="n">
        <f aca="false">SQRT(I47)</f>
        <v>1</v>
      </c>
      <c r="K47" s="21" t="n">
        <f aca="false">$L$7*POISSON(H47,$I$7,FALSE())</f>
        <v>0.253205503101155</v>
      </c>
      <c r="L47" s="21" t="n">
        <f aca="false">$L$7*NORMDIST(H47,$I$7,SQRT($I$7),FALSE())</f>
        <v>0.204198158754854</v>
      </c>
      <c r="M47" s="21" t="n">
        <f aca="false">IF(I47&gt;0,(I47-K47)^2/I47,0)</f>
        <v>0.557702020598399</v>
      </c>
      <c r="N47" s="21" t="n">
        <f aca="false">IF(I47&gt;0,(I47-L47)^2/I47,0)</f>
        <v>0.633300570529164</v>
      </c>
      <c r="O47" s="20" t="n">
        <v>113</v>
      </c>
      <c r="P47" s="9" t="n">
        <f aca="false">COUNTIF(SoLieuTho!$I$9:$I$108,O47)</f>
        <v>6</v>
      </c>
      <c r="Q47" s="21" t="n">
        <f aca="false">SQRT(P47)</f>
        <v>2.44948974278318</v>
      </c>
      <c r="R47" s="21" t="n">
        <f aca="false">$S$7*POISSON(O47,$P$7,FALSE())</f>
        <v>3.73924319494662</v>
      </c>
      <c r="S47" s="21" t="n">
        <f aca="false">$S$7*NORMDIST(O47,$P$7,SQRT($P$7),FALSE())</f>
        <v>3.75545956083762</v>
      </c>
      <c r="T47" s="21" t="n">
        <f aca="false">IF(P47&gt;0,(P47-R47)^2/P47,0)</f>
        <v>0.851836888599196</v>
      </c>
      <c r="U47" s="21" t="n">
        <f aca="false">IF(P47&gt;0,(P47-S47)^2/P47,0)</f>
        <v>0.839660297172544</v>
      </c>
    </row>
    <row r="48" customFormat="false" ht="15" hidden="false" customHeight="false" outlineLevel="0" collapsed="false">
      <c r="H48" s="20" t="n">
        <v>59</v>
      </c>
      <c r="I48" s="9" t="n">
        <f aca="false">COUNTIF(SoLieuTho!$F$9:$F$108,H48)</f>
        <v>0</v>
      </c>
      <c r="J48" s="21" t="n">
        <f aca="false">SQRT(I48)</f>
        <v>0</v>
      </c>
      <c r="K48" s="21" t="n">
        <f aca="false">$L$7*POISSON(H48,$I$7,FALSE())</f>
        <v>0.176900522675078</v>
      </c>
      <c r="L48" s="21" t="n">
        <f aca="false">$L$7*NORMDIST(H48,$I$7,SQRT($I$7),FALSE())</f>
        <v>0.1342732516472</v>
      </c>
      <c r="M48" s="21" t="n">
        <f aca="false">IF(I48&gt;0,(I48-K48)^2/I48,0)</f>
        <v>0</v>
      </c>
      <c r="N48" s="21" t="n">
        <f aca="false">IF(I48&gt;0,(I48-L48)^2/I48,0)</f>
        <v>0</v>
      </c>
      <c r="O48" s="20" t="n">
        <v>114</v>
      </c>
      <c r="P48" s="9" t="n">
        <f aca="false">COUNTIF(SoLieuTho!$I$9:$I$108,O48)</f>
        <v>4</v>
      </c>
      <c r="Q48" s="21" t="n">
        <f aca="false">SQRT(P48)</f>
        <v>2</v>
      </c>
      <c r="R48" s="21" t="n">
        <f aca="false">$S$7*POISSON(O48,$P$7,FALSE())</f>
        <v>3.67987450913212</v>
      </c>
      <c r="S48" s="21" t="n">
        <f aca="false">$S$7*NORMDIST(O48,$P$7,SQRT($P$7),FALSE())</f>
        <v>3.71186350914691</v>
      </c>
      <c r="T48" s="21" t="n">
        <f aca="false">IF(P48&gt;0,(P48-R48)^2/P48,0)</f>
        <v>0.025620082475851</v>
      </c>
      <c r="U48" s="21" t="n">
        <f aca="false">IF(P48&gt;0,(P48-S48)^2/P48,0)</f>
        <v>0.0207556593402826</v>
      </c>
    </row>
    <row r="49" customFormat="false" ht="15" hidden="false" customHeight="false" outlineLevel="0" collapsed="false">
      <c r="H49" s="20" t="n">
        <v>60</v>
      </c>
      <c r="I49" s="9" t="n">
        <f aca="false">COUNTIF(SoLieuTho!$F$9:$F$108,H49)</f>
        <v>0</v>
      </c>
      <c r="J49" s="21" t="n">
        <f aca="false">SQRT(I49)</f>
        <v>0</v>
      </c>
      <c r="K49" s="21" t="n">
        <f aca="false">$L$7*POISSON(H49,$I$7,FALSE())</f>
        <v>0.121530659077779</v>
      </c>
      <c r="L49" s="21" t="n">
        <f aca="false">$L$7*NORMDIST(H49,$I$7,SQRT($I$7),FALSE())</f>
        <v>0.0861769614419412</v>
      </c>
      <c r="M49" s="21" t="n">
        <f aca="false">IF(I49&gt;0,(I49-K49)^2/I49,0)</f>
        <v>0</v>
      </c>
      <c r="N49" s="21" t="n">
        <f aca="false">IF(I49&gt;0,(I49-L49)^2/I49,0)</f>
        <v>0</v>
      </c>
      <c r="O49" s="20" t="n">
        <v>115</v>
      </c>
      <c r="P49" s="9" t="n">
        <f aca="false">COUNTIF(SoLieuTho!$I$9:$I$108,O49)</f>
        <v>3</v>
      </c>
      <c r="Q49" s="21" t="n">
        <f aca="false">SQRT(P49)</f>
        <v>1.73205080756888</v>
      </c>
      <c r="R49" s="21" t="n">
        <f aca="false">$S$7*POISSON(O49,$P$7,FALSE())</f>
        <v>3.58995757547419</v>
      </c>
      <c r="S49" s="21" t="n">
        <f aca="false">$S$7*NORMDIST(O49,$P$7,SQRT($P$7),FALSE())</f>
        <v>3.63621742966998</v>
      </c>
      <c r="T49" s="21" t="n">
        <f aca="false">IF(P49&gt;0,(P49-R49)^2/P49,0)</f>
        <v>0.116016646953129</v>
      </c>
      <c r="U49" s="21" t="n">
        <f aca="false">IF(P49&gt;0,(P49-S49)^2/P49,0)</f>
        <v>0.134924205938626</v>
      </c>
    </row>
    <row r="50" customFormat="false" ht="15" hidden="false" customHeight="false" outlineLevel="0" collapsed="false">
      <c r="H50" s="20" t="n">
        <v>61</v>
      </c>
      <c r="I50" s="9" t="n">
        <f aca="false">COUNTIF(SoLieuTho!$F$9:$F$108,H50)</f>
        <v>0</v>
      </c>
      <c r="J50" s="21" t="n">
        <f aca="false">SQRT(I50)</f>
        <v>0</v>
      </c>
      <c r="K50" s="21" t="n">
        <f aca="false">$L$7*POISSON(H50,$I$7,FALSE())</f>
        <v>0.0821228486423941</v>
      </c>
      <c r="L50" s="21" t="n">
        <f aca="false">$L$7*NORMDIST(H50,$I$7,SQRT($I$7),FALSE())</f>
        <v>0.0539829774055097</v>
      </c>
      <c r="M50" s="21" t="n">
        <f aca="false">IF(I50&gt;0,(I50-K50)^2/I50,0)</f>
        <v>0</v>
      </c>
      <c r="N50" s="21" t="n">
        <f aca="false">IF(I50&gt;0,(I50-L50)^2/I50,0)</f>
        <v>0</v>
      </c>
      <c r="O50" s="20" t="n">
        <v>116</v>
      </c>
      <c r="P50" s="9" t="n">
        <f aca="false">COUNTIF(SoLieuTho!$I$9:$I$108,O50)</f>
        <v>3</v>
      </c>
      <c r="Q50" s="21" t="n">
        <f aca="false">SQRT(P50)</f>
        <v>1.73205080756888</v>
      </c>
      <c r="R50" s="21" t="n">
        <f aca="false">$S$7*POISSON(O50,$P$7,FALSE())</f>
        <v>3.47204603786595</v>
      </c>
      <c r="S50" s="21" t="n">
        <f aca="false">$S$7*NORMDIST(O50,$P$7,SQRT($P$7),FALSE())</f>
        <v>3.53050335002004</v>
      </c>
      <c r="T50" s="21" t="n">
        <f aca="false">IF(P50&gt;0,(P50-R50)^2/P50,0)</f>
        <v>0.0742758206216457</v>
      </c>
      <c r="U50" s="21" t="n">
        <f aca="false">IF(P50&gt;0,(P50-S50)^2/P50,0)</f>
        <v>0.0938112681274941</v>
      </c>
    </row>
    <row r="51" customFormat="false" ht="15" hidden="false" customHeight="false" outlineLevel="0" collapsed="false">
      <c r="H51" s="20" t="n">
        <v>62</v>
      </c>
      <c r="I51" s="9" t="n">
        <f aca="false">COUNTIF(SoLieuTho!$F$9:$F$108,H51)</f>
        <v>0</v>
      </c>
      <c r="J51" s="21" t="n">
        <f aca="false">SQRT(I51)</f>
        <v>0</v>
      </c>
      <c r="K51" s="21" t="n">
        <f aca="false">$L$7*POISSON(H51,$I$7,FALSE())</f>
        <v>0.0545984487264433</v>
      </c>
      <c r="L51" s="21" t="n">
        <f aca="false">$L$7*NORMDIST(H51,$I$7,SQRT($I$7),FALSE())</f>
        <v>0.0330055122716794</v>
      </c>
      <c r="M51" s="21" t="n">
        <f aca="false">IF(I51&gt;0,(I51-K51)^2/I51,0)</f>
        <v>0</v>
      </c>
      <c r="N51" s="21" t="n">
        <f aca="false">IF(I51&gt;0,(I51-L51)^2/I51,0)</f>
        <v>0</v>
      </c>
      <c r="O51" s="20" t="n">
        <v>117</v>
      </c>
      <c r="P51" s="9" t="n">
        <f aca="false">COUNTIF(SoLieuTho!$I$9:$I$108,O51)</f>
        <v>4</v>
      </c>
      <c r="Q51" s="21" t="n">
        <f aca="false">SQRT(P51)</f>
        <v>2</v>
      </c>
      <c r="R51" s="21" t="n">
        <f aca="false">$S$7*POISSON(O51,$P$7,FALSE())</f>
        <v>3.32930636742034</v>
      </c>
      <c r="S51" s="21" t="n">
        <f aca="false">$S$7*NORMDIST(O51,$P$7,SQRT($P$7),FALSE())</f>
        <v>3.39744433106254</v>
      </c>
      <c r="T51" s="21" t="n">
        <f aca="false">IF(P51&gt;0,(P51-R51)^2/P51,0)</f>
        <v>0.112457487195724</v>
      </c>
      <c r="U51" s="21" t="n">
        <f aca="false">IF(P51&gt;0,(P51-S51)^2/P51,0)</f>
        <v>0.0907683335421688</v>
      </c>
    </row>
    <row r="52" customFormat="false" ht="15" hidden="false" customHeight="false" outlineLevel="0" collapsed="false">
      <c r="H52" s="20" t="n">
        <v>63</v>
      </c>
      <c r="I52" s="9" t="n">
        <f aca="false">COUNTIF(SoLieuTho!$F$9:$F$108,H52)</f>
        <v>0</v>
      </c>
      <c r="J52" s="21" t="n">
        <f aca="false">SQRT(I52)</f>
        <v>0</v>
      </c>
      <c r="K52" s="21" t="n">
        <f aca="false">$L$7*POISSON(H52,$I$7,FALSE())</f>
        <v>0.0357229850238729</v>
      </c>
      <c r="L52" s="21" t="n">
        <f aca="false">$L$7*NORMDIST(H52,$I$7,SQRT($I$7),FALSE())</f>
        <v>0.0196960939717872</v>
      </c>
      <c r="M52" s="21" t="n">
        <f aca="false">IF(I52&gt;0,(I52-K52)^2/I52,0)</f>
        <v>0</v>
      </c>
      <c r="N52" s="21" t="n">
        <f aca="false">IF(I52&gt;0,(I52-L52)^2/I52,0)</f>
        <v>0</v>
      </c>
      <c r="O52" s="20" t="n">
        <v>118</v>
      </c>
      <c r="P52" s="9" t="n">
        <f aca="false">COUNTIF(SoLieuTho!$I$9:$I$108,O52)</f>
        <v>2</v>
      </c>
      <c r="Q52" s="21" t="n">
        <f aca="false">SQRT(P52)</f>
        <v>1.4142135623731</v>
      </c>
      <c r="R52" s="21" t="n">
        <f aca="false">$S$7*POISSON(O52,$P$7,FALSE())</f>
        <v>3.165380350516</v>
      </c>
      <c r="S52" s="21" t="n">
        <f aca="false">$S$7*NORMDIST(O52,$P$7,SQRT($P$7),FALSE())</f>
        <v>3.24038794918099</v>
      </c>
      <c r="T52" s="21" t="n">
        <f aca="false">IF(P52&gt;0,(P52-R52)^2/P52,0)</f>
        <v>0.679055680684402</v>
      </c>
      <c r="U52" s="21" t="n">
        <f aca="false">IF(P52&gt;0,(P52-S52)^2/P52,0)</f>
        <v>0.769281132236712</v>
      </c>
    </row>
    <row r="53" customFormat="false" ht="15" hidden="false" customHeight="false" outlineLevel="0" collapsed="false">
      <c r="H53" s="20" t="n">
        <v>64</v>
      </c>
      <c r="I53" s="9" t="n">
        <f aca="false">COUNTIF(SoLieuTho!$F$9:$F$108,H53)</f>
        <v>0</v>
      </c>
      <c r="J53" s="21" t="n">
        <f aca="false">SQRT(I53)</f>
        <v>0</v>
      </c>
      <c r="K53" s="21" t="n">
        <f aca="false">$L$7*POISSON(H53,$I$7,FALSE())</f>
        <v>0.0230078350419381</v>
      </c>
      <c r="L53" s="21" t="n">
        <f aca="false">$L$7*NORMDIST(H53,$I$7,SQRT($I$7),FALSE())</f>
        <v>0.0114719626385515</v>
      </c>
      <c r="M53" s="21" t="n">
        <f aca="false">IF(I53&gt;0,(I53-K53)^2/I53,0)</f>
        <v>0</v>
      </c>
      <c r="N53" s="21" t="n">
        <f aca="false">IF(I53&gt;0,(I53-L53)^2/I53,0)</f>
        <v>0</v>
      </c>
      <c r="O53" s="20" t="n">
        <v>119</v>
      </c>
      <c r="P53" s="9" t="n">
        <f aca="false">COUNTIF(SoLieuTho!$I$9:$I$108,O53)</f>
        <v>3</v>
      </c>
      <c r="Q53" s="21" t="n">
        <f aca="false">SQRT(P53)</f>
        <v>1.73205080756888</v>
      </c>
      <c r="R53" s="21" t="n">
        <f aca="false">$S$7*POISSON(O53,$P$7,FALSE())</f>
        <v>2.98423547499488</v>
      </c>
      <c r="S53" s="21" t="n">
        <f aca="false">$S$7*NORMDIST(O53,$P$7,SQRT($P$7),FALSE())</f>
        <v>3.06316650977034</v>
      </c>
      <c r="T53" s="21" t="n">
        <f aca="false">IF(P53&gt;0,(P53-R53)^2/P53,0)</f>
        <v>8.28400828790429E-005</v>
      </c>
      <c r="U53" s="21" t="n">
        <f aca="false">IF(P53&gt;0,(P53-S53)^2/P53,0)</f>
        <v>0.00133000265218863</v>
      </c>
    </row>
    <row r="54" customFormat="false" ht="15" hidden="false" customHeight="false" outlineLevel="0" collapsed="false">
      <c r="H54" s="35" t="s">
        <v>179</v>
      </c>
      <c r="I54" s="36" t="n">
        <f aca="false">SUM(I9:I53)</f>
        <v>100</v>
      </c>
      <c r="J54" s="37"/>
      <c r="K54" s="27" t="n">
        <f aca="false">SUM(K9:K53)</f>
        <v>99.9534756709751</v>
      </c>
      <c r="L54" s="27" t="n">
        <f aca="false">SUM(L9:L53)</f>
        <v>99.9504092468297</v>
      </c>
      <c r="M54" s="27" t="n">
        <f aca="false">SUM(M9:M53)</f>
        <v>43.091910542738</v>
      </c>
      <c r="N54" s="27" t="n">
        <f aca="false">SUM(N9:N53)</f>
        <v>44.562951169926</v>
      </c>
      <c r="O54" s="20" t="n">
        <v>120</v>
      </c>
      <c r="P54" s="9" t="n">
        <f aca="false">COUNTIF(SoLieuTho!$I$9:$I$108,O54)</f>
        <v>3</v>
      </c>
      <c r="Q54" s="21" t="n">
        <f aca="false">SQRT(P54)</f>
        <v>1.73205080756888</v>
      </c>
      <c r="R54" s="21" t="n">
        <f aca="false">$S$7*POISSON(O54,$P$7,FALSE())</f>
        <v>2.79001148283063</v>
      </c>
      <c r="S54" s="21" t="n">
        <f aca="false">$S$7*NORMDIST(O54,$P$7,SQRT($P$7),FALSE())</f>
        <v>2.86994212951298</v>
      </c>
      <c r="T54" s="21" t="n">
        <f aca="false">IF(P54&gt;0,(P54-R54)^2/P54,0)</f>
        <v>0.0146983924476639</v>
      </c>
      <c r="U54" s="21" t="n">
        <f aca="false">IF(P54&gt;0,(P54-S54)^2/P54,0)</f>
        <v>0.00563834989187295</v>
      </c>
    </row>
    <row r="55" customFormat="false" ht="15" hidden="false" customHeight="false" outlineLevel="0" collapsed="false">
      <c r="H55" s="38" t="s">
        <v>180</v>
      </c>
      <c r="I55" s="24" t="n">
        <f aca="false">COUNTIF(I9:I53,"&gt;0")</f>
        <v>28</v>
      </c>
      <c r="O55" s="20" t="n">
        <v>121</v>
      </c>
      <c r="P55" s="9" t="n">
        <f aca="false">COUNTIF(SoLieuTho!$I$9:$I$108,O55)</f>
        <v>3</v>
      </c>
      <c r="Q55" s="21" t="n">
        <f aca="false">SQRT(P55)</f>
        <v>1.73205080756888</v>
      </c>
      <c r="R55" s="21" t="n">
        <f aca="false">$S$7*POISSON(O55,$P$7,FALSE())</f>
        <v>2.58687097734519</v>
      </c>
      <c r="S55" s="21" t="n">
        <f aca="false">$S$7*NORMDIST(O55,$P$7,SQRT($P$7),FALSE())</f>
        <v>2.66504539925204</v>
      </c>
      <c r="T55" s="21" t="n">
        <f aca="false">IF(P55&gt;0,(P55-R55)^2/P55,0)</f>
        <v>0.0568918631199058</v>
      </c>
      <c r="U55" s="21" t="n">
        <f aca="false">IF(P55&gt;0,(P55-S55)^2/P55,0)</f>
        <v>0.037398194854076</v>
      </c>
    </row>
    <row r="56" customFormat="false" ht="15" hidden="false" customHeight="false" outlineLevel="0" collapsed="false">
      <c r="O56" s="20" t="n">
        <v>122</v>
      </c>
      <c r="P56" s="9" t="n">
        <f aca="false">COUNTIF(SoLieuTho!$I$9:$I$108,O56)</f>
        <v>1</v>
      </c>
      <c r="Q56" s="21" t="n">
        <f aca="false">SQRT(P56)</f>
        <v>1</v>
      </c>
      <c r="R56" s="21" t="n">
        <f aca="false">$S$7*POISSON(O56,$P$7,FALSE())</f>
        <v>2.37886110613407</v>
      </c>
      <c r="S56" s="21" t="n">
        <f aca="false">$S$7*NORMDIST(O56,$P$7,SQRT($P$7),FALSE())</f>
        <v>2.45281628789974</v>
      </c>
      <c r="T56" s="21" t="n">
        <f aca="false">IF(P56&gt;0,(P56-R56)^2/P56,0)</f>
        <v>1.90125795000928</v>
      </c>
      <c r="U56" s="21" t="n">
        <f aca="false">IF(P56&gt;0,(P56-S56)^2/P56,0)</f>
        <v>2.11067516638679</v>
      </c>
    </row>
    <row r="57" customFormat="false" ht="15" hidden="false" customHeight="false" outlineLevel="0" collapsed="false">
      <c r="O57" s="20" t="n">
        <v>123</v>
      </c>
      <c r="P57" s="9" t="n">
        <f aca="false">COUNTIF(SoLieuTho!$I$9:$I$108,O57)</f>
        <v>3</v>
      </c>
      <c r="Q57" s="21" t="n">
        <f aca="false">SQRT(P57)</f>
        <v>1.73205080756888</v>
      </c>
      <c r="R57" s="21" t="n">
        <f aca="false">$S$7*POISSON(O57,$P$7,FALSE())</f>
        <v>2.16979209347302</v>
      </c>
      <c r="S57" s="21" t="n">
        <f aca="false">$S$7*NORMDIST(O57,$P$7,SQRT($P$7),FALSE())</f>
        <v>2.23745530613822</v>
      </c>
      <c r="T57" s="21" t="n">
        <f aca="false">IF(P57&gt;0,(P57-R57)^2/P57,0)</f>
        <v>0.229748389353302</v>
      </c>
      <c r="U57" s="21" t="n">
        <f aca="false">IF(P57&gt;0,(P57-S57)^2/P57,0)</f>
        <v>0.193824803378917</v>
      </c>
    </row>
    <row r="58" customFormat="false" ht="15" hidden="false" customHeight="false" outlineLevel="0" collapsed="false">
      <c r="O58" s="20" t="n">
        <v>124</v>
      </c>
      <c r="P58" s="9" t="n">
        <f aca="false">COUNTIF(SoLieuTho!$I$9:$I$108,O58)</f>
        <v>1</v>
      </c>
      <c r="Q58" s="21" t="n">
        <f aca="false">SQRT(P58)</f>
        <v>1</v>
      </c>
      <c r="R58" s="21" t="n">
        <f aca="false">$S$7*POISSON(O58,$P$7,FALSE())</f>
        <v>1.96313689489305</v>
      </c>
      <c r="S58" s="21" t="n">
        <f aca="false">$S$7*NORMDIST(O58,$P$7,SQRT($P$7),FALSE())</f>
        <v>2.02289180048373</v>
      </c>
      <c r="T58" s="21" t="n">
        <f aca="false">IF(P58&gt;0,(P58-R58)^2/P58,0)</f>
        <v>0.927632678304229</v>
      </c>
      <c r="U58" s="21" t="n">
        <f aca="false">IF(P58&gt;0,(P58-S58)^2/P58,0)</f>
        <v>1.04630763549685</v>
      </c>
    </row>
    <row r="59" customFormat="false" ht="15" hidden="false" customHeight="false" outlineLevel="0" collapsed="false">
      <c r="O59" s="20" t="n">
        <v>125</v>
      </c>
      <c r="P59" s="9" t="n">
        <f aca="false">COUNTIF(SoLieuTho!$I$9:$I$108,O59)</f>
        <v>3</v>
      </c>
      <c r="Q59" s="21" t="n">
        <f aca="false">SQRT(P59)</f>
        <v>1.73205080756888</v>
      </c>
      <c r="R59" s="21" t="n">
        <f aca="false">$S$7*POISSON(O59,$P$7,FALSE())</f>
        <v>1.76195462590441</v>
      </c>
      <c r="S59" s="21" t="n">
        <f aca="false">$S$7*NORMDIST(O59,$P$7,SQRT($P$7),FALSE())</f>
        <v>1.81267471518932</v>
      </c>
      <c r="T59" s="21" t="n">
        <f aca="false">IF(P59&gt;0,(P59-R59)^2/P59,0)</f>
        <v>0.510918782773162</v>
      </c>
      <c r="U59" s="21" t="n">
        <f aca="false">IF(P59&gt;0,(P59-S59)^2/P59,0)</f>
        <v>0.469913777316923</v>
      </c>
    </row>
    <row r="60" customFormat="false" ht="15" hidden="false" customHeight="false" outlineLevel="0" collapsed="false">
      <c r="O60" s="20" t="n">
        <v>126</v>
      </c>
      <c r="P60" s="9" t="n">
        <f aca="false">COUNTIF(SoLieuTho!$I$9:$I$108,O60)</f>
        <v>3</v>
      </c>
      <c r="Q60" s="21" t="n">
        <f aca="false">SQRT(P60)</f>
        <v>1.73205080756888</v>
      </c>
      <c r="R60" s="21" t="n">
        <f aca="false">$S$7*POISSON(O60,$P$7,FALSE())</f>
        <v>1.56883880539854</v>
      </c>
      <c r="S60" s="21" t="n">
        <f aca="false">$S$7*NORMDIST(O60,$P$7,SQRT($P$7),FALSE())</f>
        <v>1.60988938699903</v>
      </c>
      <c r="T60" s="21" t="n">
        <f aca="false">IF(P60&gt;0,(P60-R60)^2/P60,0)</f>
        <v>0.682740788311027</v>
      </c>
      <c r="U60" s="21" t="n">
        <f aca="false">IF(P60&gt;0,(P60-S60)^2/P60,0)</f>
        <v>0.644135838792646</v>
      </c>
    </row>
    <row r="61" customFormat="false" ht="15" hidden="false" customHeight="false" outlineLevel="0" collapsed="false">
      <c r="O61" s="20" t="n">
        <v>127</v>
      </c>
      <c r="P61" s="9" t="n">
        <f aca="false">COUNTIF(SoLieuTho!$I$9:$I$108,O61)</f>
        <v>1</v>
      </c>
      <c r="Q61" s="21" t="n">
        <f aca="false">SQRT(P61)</f>
        <v>1</v>
      </c>
      <c r="R61" s="21" t="n">
        <f aca="false">$S$7*POISSON(O61,$P$7,FALSE())</f>
        <v>1.38588996517844</v>
      </c>
      <c r="S61" s="21" t="n">
        <f aca="false">$S$7*NORMDIST(O61,$P$7,SQRT($P$7),FALSE())</f>
        <v>1.41710208014012</v>
      </c>
      <c r="T61" s="21" t="n">
        <f aca="false">IF(P61&gt;0,(P61-R61)^2/P61,0)</f>
        <v>0.148911065225419</v>
      </c>
      <c r="U61" s="21" t="n">
        <f aca="false">IF(P61&gt;0,(P61-S61)^2/P61,0)</f>
        <v>0.173974145257212</v>
      </c>
    </row>
    <row r="62" customFormat="false" ht="15" hidden="false" customHeight="false" outlineLevel="0" collapsed="false">
      <c r="O62" s="20" t="n">
        <v>128</v>
      </c>
      <c r="P62" s="9" t="n">
        <f aca="false">COUNTIF(SoLieuTho!$I$9:$I$108,O62)</f>
        <v>5</v>
      </c>
      <c r="Q62" s="21" t="n">
        <f aca="false">SQRT(P62)</f>
        <v>2.23606797749979</v>
      </c>
      <c r="R62" s="21" t="n">
        <f aca="false">$S$7*POISSON(O62,$P$7,FALSE())</f>
        <v>1.2147108999482</v>
      </c>
      <c r="S62" s="21" t="n">
        <f aca="false">$S$7*NORMDIST(O62,$P$7,SQRT($P$7),FALSE())</f>
        <v>1.2363321740498</v>
      </c>
      <c r="T62" s="21" t="n">
        <f aca="false">IF(P62&gt;0,(P62-R62)^2/P62,0)</f>
        <v>2.8656827141942</v>
      </c>
      <c r="U62" s="21" t="n">
        <f aca="false">IF(P62&gt;0,(P62-S62)^2/P62,0)</f>
        <v>2.83303910081855</v>
      </c>
    </row>
    <row r="63" customFormat="false" ht="15" hidden="false" customHeight="false" outlineLevel="0" collapsed="false">
      <c r="O63" s="20" t="n">
        <v>129</v>
      </c>
      <c r="P63" s="9" t="n">
        <f aca="false">COUNTIF(SoLieuTho!$I$9:$I$108,O63)</f>
        <v>2</v>
      </c>
      <c r="Q63" s="21" t="n">
        <f aca="false">SQRT(P63)</f>
        <v>1.4142135623731</v>
      </c>
      <c r="R63" s="21" t="n">
        <f aca="false">$S$7*POISSON(O63,$P$7,FALSE())</f>
        <v>1.05642182841231</v>
      </c>
      <c r="S63" s="21" t="n">
        <f aca="false">$S$7*NORMDIST(O63,$P$7,SQRT($P$7),FALSE())</f>
        <v>1.06905031275803</v>
      </c>
      <c r="T63" s="21" t="n">
        <f aca="false">IF(P63&gt;0,(P63-R63)^2/P63,0)</f>
        <v>0.445169882948381</v>
      </c>
      <c r="U63" s="21" t="n">
        <f aca="false">IF(P63&gt;0,(P63-S63)^2/P63,0)</f>
        <v>0.433333660087959</v>
      </c>
    </row>
    <row r="64" customFormat="false" ht="15" hidden="false" customHeight="false" outlineLevel="0" collapsed="false">
      <c r="O64" s="20" t="n">
        <v>130</v>
      </c>
      <c r="P64" s="9" t="n">
        <f aca="false">COUNTIF(SoLieuTho!$I$9:$I$108,O64)</f>
        <v>0</v>
      </c>
      <c r="Q64" s="21" t="n">
        <f aca="false">SQRT(P64)</f>
        <v>0</v>
      </c>
      <c r="R64" s="21" t="n">
        <f aca="false">$S$7*POISSON(O64,$P$7,FALSE())</f>
        <v>0.911692037919826</v>
      </c>
      <c r="S64" s="21" t="n">
        <f aca="false">$S$7*NORMDIST(O64,$P$7,SQRT($P$7),FALSE())</f>
        <v>0.916199511990132</v>
      </c>
      <c r="T64" s="21" t="n">
        <f aca="false">IF(P64&gt;0,(P64-R64)^2/P64,0)</f>
        <v>0</v>
      </c>
      <c r="U64" s="21" t="n">
        <f aca="false">IF(P64&gt;0,(P64-S64)^2/P64,0)</f>
        <v>0</v>
      </c>
    </row>
    <row r="65" customFormat="false" ht="15" hidden="false" customHeight="false" outlineLevel="0" collapsed="false">
      <c r="O65" s="20" t="n">
        <v>131</v>
      </c>
      <c r="P65" s="9" t="n">
        <f aca="false">COUNTIF(SoLieuTho!$I$9:$I$108,O65)</f>
        <v>0</v>
      </c>
      <c r="Q65" s="21" t="n">
        <f aca="false">SQRT(P65)</f>
        <v>0</v>
      </c>
      <c r="R65" s="21" t="n">
        <f aca="false">$S$7*POISSON(O65,$P$7,FALSE())</f>
        <v>0.780784196444468</v>
      </c>
      <c r="S65" s="21" t="n">
        <f aca="false">$S$7*NORMDIST(O65,$P$7,SQRT($P$7),FALSE())</f>
        <v>0.778235262203396</v>
      </c>
      <c r="T65" s="21" t="n">
        <f aca="false">IF(P65&gt;0,(P65-R65)^2/P65,0)</f>
        <v>0</v>
      </c>
      <c r="U65" s="21" t="n">
        <f aca="false">IF(P65&gt;0,(P65-S65)^2/P65,0)</f>
        <v>0</v>
      </c>
    </row>
    <row r="66" customFormat="false" ht="15" hidden="false" customHeight="false" outlineLevel="0" collapsed="false">
      <c r="O66" s="20" t="n">
        <v>132</v>
      </c>
      <c r="P66" s="9" t="n">
        <f aca="false">COUNTIF(SoLieuTho!$I$9:$I$108,O66)</f>
        <v>0</v>
      </c>
      <c r="Q66" s="21" t="n">
        <f aca="false">SQRT(P66)</f>
        <v>0</v>
      </c>
      <c r="R66" s="21" t="n">
        <f aca="false">$S$7*POISSON(O66,$P$7,FALSE())</f>
        <v>0.663607416659885</v>
      </c>
      <c r="S66" s="21" t="n">
        <f aca="false">$S$7*NORMDIST(O66,$P$7,SQRT($P$7),FALSE())</f>
        <v>0.655180090311707</v>
      </c>
      <c r="T66" s="21" t="n">
        <f aca="false">IF(P66&gt;0,(P66-R66)^2/P66,0)</f>
        <v>0</v>
      </c>
      <c r="U66" s="21" t="n">
        <f aca="false">IF(P66&gt;0,(P66-S66)^2/P66,0)</f>
        <v>0</v>
      </c>
    </row>
    <row r="67" customFormat="false" ht="15" hidden="false" customHeight="false" outlineLevel="0" collapsed="false">
      <c r="O67" s="20" t="n">
        <v>133</v>
      </c>
      <c r="P67" s="9" t="n">
        <f aca="false">COUNTIF(SoLieuTho!$I$9:$I$108,O67)</f>
        <v>0</v>
      </c>
      <c r="Q67" s="21" t="n">
        <f aca="false">SQRT(P67)</f>
        <v>0</v>
      </c>
      <c r="R67" s="21" t="n">
        <f aca="false">$S$7*POISSON(O67,$P$7,FALSE())</f>
        <v>0.559775308835132</v>
      </c>
      <c r="S67" s="21" t="n">
        <f aca="false">$S$7*NORMDIST(O67,$P$7,SQRT($P$7),FALSE())</f>
        <v>0.546687842307944</v>
      </c>
      <c r="T67" s="21" t="n">
        <f aca="false">IF(P67&gt;0,(P67-R67)^2/P67,0)</f>
        <v>0</v>
      </c>
      <c r="U67" s="21" t="n">
        <f aca="false">IF(P67&gt;0,(P67-S67)^2/P67,0)</f>
        <v>0</v>
      </c>
    </row>
    <row r="68" customFormat="false" ht="15" hidden="false" customHeight="false" outlineLevel="0" collapsed="false">
      <c r="O68" s="20" t="n">
        <v>134</v>
      </c>
      <c r="P68" s="9" t="n">
        <f aca="false">COUNTIF(SoLieuTho!$I$9:$I$108,O68)</f>
        <v>1</v>
      </c>
      <c r="Q68" s="21" t="n">
        <f aca="false">SQRT(P68)</f>
        <v>1</v>
      </c>
      <c r="R68" s="21" t="n">
        <f aca="false">$S$7*POISSON(O68,$P$7,FALSE())</f>
        <v>0.468665611180697</v>
      </c>
      <c r="S68" s="21" t="n">
        <f aca="false">$S$7*NORMDIST(O68,$P$7,SQRT($P$7),FALSE())</f>
        <v>0.452113086258225</v>
      </c>
      <c r="T68" s="21" t="n">
        <f aca="false">IF(P68&gt;0,(P68-R68)^2/P68,0)</f>
        <v>0.282316232741982</v>
      </c>
      <c r="U68" s="21" t="n">
        <f aca="false">IF(P68&gt;0,(P68-S68)^2/P68,0)</f>
        <v>0.300180070249488</v>
      </c>
    </row>
    <row r="69" customFormat="false" ht="15" hidden="false" customHeight="false" outlineLevel="0" collapsed="false">
      <c r="O69" s="20" t="n">
        <v>135</v>
      </c>
      <c r="P69" s="9" t="n">
        <f aca="false">COUNTIF(SoLieuTho!$I$9:$I$108,O69)</f>
        <v>0</v>
      </c>
      <c r="Q69" s="21" t="n">
        <f aca="false">SQRT(P69)</f>
        <v>0</v>
      </c>
      <c r="R69" s="21" t="n">
        <f aca="false">$S$7*POISSON(O69,$P$7,FALSE())</f>
        <v>0.389478480876759</v>
      </c>
      <c r="S69" s="21" t="n">
        <f aca="false">$S$7*NORMDIST(O69,$P$7,SQRT($P$7),FALSE())</f>
        <v>0.370581450887653</v>
      </c>
      <c r="T69" s="21" t="n">
        <f aca="false">IF(P69&gt;0,(P69-R69)^2/P69,0)</f>
        <v>0</v>
      </c>
      <c r="U69" s="21" t="n">
        <f aca="false">IF(P69&gt;0,(P69-S69)^2/P69,0)</f>
        <v>0</v>
      </c>
    </row>
    <row r="70" customFormat="false" ht="15" hidden="false" customHeight="false" outlineLevel="0" collapsed="false">
      <c r="O70" s="20" t="n">
        <v>136</v>
      </c>
      <c r="P70" s="9" t="n">
        <f aca="false">COUNTIF(SoLieuTho!$I$9:$I$108,O70)</f>
        <v>0</v>
      </c>
      <c r="Q70" s="21" t="n">
        <f aca="false">SQRT(P70)</f>
        <v>0</v>
      </c>
      <c r="R70" s="21" t="n">
        <f aca="false">$S$7*POISSON(O70,$P$7,FALSE())</f>
        <v>0.321291108599732</v>
      </c>
      <c r="S70" s="21" t="n">
        <f aca="false">$S$7*NORMDIST(O70,$P$7,SQRT($P$7),FALSE())</f>
        <v>0.301057336187456</v>
      </c>
      <c r="T70" s="21" t="n">
        <f aca="false">IF(P70&gt;0,(P70-R70)^2/P70,0)</f>
        <v>0</v>
      </c>
      <c r="U70" s="21" t="n">
        <f aca="false">IF(P70&gt;0,(P70-S70)^2/P70,0)</f>
        <v>0</v>
      </c>
    </row>
    <row r="71" customFormat="false" ht="15" hidden="false" customHeight="false" outlineLevel="0" collapsed="false">
      <c r="O71" s="20" t="n">
        <v>137</v>
      </c>
      <c r="P71" s="9" t="n">
        <f aca="false">COUNTIF(SoLieuTho!$I$9:$I$108,O71)</f>
        <v>0</v>
      </c>
      <c r="Q71" s="21" t="n">
        <f aca="false">SQRT(P71)</f>
        <v>0</v>
      </c>
      <c r="R71" s="21" t="n">
        <f aca="false">$S$7*POISSON(O71,$P$7,FALSE())</f>
        <v>0.263106930465722</v>
      </c>
      <c r="S71" s="21" t="n">
        <f aca="false">$S$7*NORMDIST(O71,$P$7,SQRT($P$7),FALSE())</f>
        <v>0.24240618102276</v>
      </c>
      <c r="T71" s="21" t="n">
        <f aca="false">IF(P71&gt;0,(P71-R71)^2/P71,0)</f>
        <v>0</v>
      </c>
      <c r="U71" s="21" t="n">
        <f aca="false">IF(P71&gt;0,(P71-S71)^2/P71,0)</f>
        <v>0</v>
      </c>
    </row>
    <row r="72" customFormat="false" ht="15" hidden="false" customHeight="false" outlineLevel="0" collapsed="false">
      <c r="O72" s="20" t="n">
        <v>138</v>
      </c>
      <c r="P72" s="9" t="n">
        <f aca="false">COUNTIF(SoLieuTho!$I$9:$I$108,O72)</f>
        <v>0</v>
      </c>
      <c r="Q72" s="21" t="n">
        <f aca="false">SQRT(P72)</f>
        <v>0</v>
      </c>
      <c r="R72" s="21" t="n">
        <f aca="false">$S$7*POISSON(O72,$P$7,FALSE())</f>
        <v>0.213898308180793</v>
      </c>
      <c r="S72" s="21" t="n">
        <f aca="false">$S$7*NORMDIST(O72,$P$7,SQRT($P$7),FALSE())</f>
        <v>0.193449273103932</v>
      </c>
      <c r="T72" s="21" t="n">
        <f aca="false">IF(P72&gt;0,(P72-R72)^2/P72,0)</f>
        <v>0</v>
      </c>
      <c r="U72" s="21" t="n">
        <f aca="false">IF(P72&gt;0,(P72-S72)^2/P72,0)</f>
        <v>0</v>
      </c>
    </row>
    <row r="73" customFormat="false" ht="15" hidden="false" customHeight="false" outlineLevel="0" collapsed="false">
      <c r="O73" s="20" t="n">
        <v>139</v>
      </c>
      <c r="P73" s="9" t="n">
        <f aca="false">COUNTIF(SoLieuTho!$I$9:$I$108,O73)</f>
        <v>1</v>
      </c>
      <c r="Q73" s="21" t="n">
        <f aca="false">SQRT(P73)</f>
        <v>1</v>
      </c>
      <c r="R73" s="21" t="n">
        <f aca="false">$S$7*POISSON(O73,$P$7,FALSE())</f>
        <v>0.172642094926641</v>
      </c>
      <c r="S73" s="21" t="n">
        <f aca="false">$S$7*NORMDIST(O73,$P$7,SQRT($P$7),FALSE())</f>
        <v>0.153009872226016</v>
      </c>
      <c r="T73" s="21" t="n">
        <f aca="false">IF(P73&gt;0,(P73-R73)^2/P73,0)</f>
        <v>0.684521103087377</v>
      </c>
      <c r="U73" s="21" t="n">
        <f aca="false">IF(P73&gt;0,(P73-S73)^2/P73,0)</f>
        <v>0.71739227654659</v>
      </c>
    </row>
    <row r="74" customFormat="false" ht="15" hidden="false" customHeight="false" outlineLevel="0" collapsed="false">
      <c r="O74" s="20" t="n">
        <v>140</v>
      </c>
      <c r="P74" s="9" t="n">
        <f aca="false">COUNTIF(SoLieuTho!$I$9:$I$108,O74)</f>
        <v>0</v>
      </c>
      <c r="Q74" s="21" t="n">
        <f aca="false">SQRT(P74)</f>
        <v>0</v>
      </c>
      <c r="R74" s="21" t="n">
        <f aca="false">$S$7*POISSON(O74,$P$7,FALSE())</f>
        <v>0.138347975927285</v>
      </c>
      <c r="S74" s="21" t="n">
        <f aca="false">$S$7*NORMDIST(O74,$P$7,SQRT($P$7),FALSE())</f>
        <v>0.119950134829357</v>
      </c>
      <c r="T74" s="21" t="n">
        <f aca="false">IF(P74&gt;0,(P74-R74)^2/P74,0)</f>
        <v>0</v>
      </c>
      <c r="U74" s="21" t="n">
        <f aca="false">IF(P74&gt;0,(P74-S74)^2/P74,0)</f>
        <v>0</v>
      </c>
    </row>
    <row r="75" customFormat="false" ht="15" hidden="false" customHeight="false" outlineLevel="0" collapsed="false">
      <c r="O75" s="20" t="n">
        <v>141</v>
      </c>
      <c r="P75" s="9" t="n">
        <f aca="false">COUNTIF(SoLieuTho!$I$9:$I$108,O75)</f>
        <v>0</v>
      </c>
      <c r="Q75" s="21" t="n">
        <f aca="false">SQRT(P75)</f>
        <v>0</v>
      </c>
      <c r="R75" s="21" t="n">
        <f aca="false">$S$7*POISSON(O75,$P$7,FALSE())</f>
        <v>0.110079854037462</v>
      </c>
      <c r="S75" s="21" t="n">
        <f aca="false">$S$7*NORMDIST(O75,$P$7,SQRT($P$7),FALSE())</f>
        <v>0.093198938542925</v>
      </c>
      <c r="T75" s="21" t="n">
        <f aca="false">IF(P75&gt;0,(P75-R75)^2/P75,0)</f>
        <v>0</v>
      </c>
      <c r="U75" s="21" t="n">
        <f aca="false">IF(P75&gt;0,(P75-S75)^2/P75,0)</f>
        <v>0</v>
      </c>
    </row>
    <row r="76" customFormat="false" ht="15" hidden="false" customHeight="false" outlineLevel="0" collapsed="false">
      <c r="O76" s="20" t="n">
        <v>142</v>
      </c>
      <c r="P76" s="9" t="n">
        <f aca="false">COUNTIF(SoLieuTho!$I$9:$I$108,O76)</f>
        <v>0</v>
      </c>
      <c r="Q76" s="21" t="n">
        <f aca="false">SQRT(P76)</f>
        <v>0</v>
      </c>
      <c r="R76" s="21" t="n">
        <f aca="false">$S$7*POISSON(O76,$P$7,FALSE())</f>
        <v>0.0869708367919916</v>
      </c>
      <c r="S76" s="21" t="n">
        <f aca="false">$S$7*NORMDIST(O76,$P$7,SQRT($P$7),FALSE())</f>
        <v>0.0717711870880955</v>
      </c>
      <c r="T76" s="21" t="n">
        <f aca="false">IF(P76&gt;0,(P76-R76)^2/P76,0)</f>
        <v>0</v>
      </c>
      <c r="U76" s="21" t="n">
        <f aca="false">IF(P76&gt;0,(P76-S76)^2/P76,0)</f>
        <v>0</v>
      </c>
    </row>
    <row r="77" customFormat="false" ht="15" hidden="false" customHeight="false" outlineLevel="0" collapsed="false">
      <c r="O77" s="20" t="n">
        <v>143</v>
      </c>
      <c r="P77" s="9" t="n">
        <f aca="false">COUNTIF(SoLieuTho!$I$9:$I$108,O77)</f>
        <v>0</v>
      </c>
      <c r="Q77" s="21" t="n">
        <f aca="false">SQRT(P77)</f>
        <v>0</v>
      </c>
      <c r="R77" s="21" t="n">
        <f aca="false">$S$7*POISSON(O77,$P$7,FALSE())</f>
        <v>0.0682325746831716</v>
      </c>
      <c r="S77" s="21" t="n">
        <f aca="false">$S$7*NORMDIST(O77,$P$7,SQRT($P$7),FALSE())</f>
        <v>0.0547795210123018</v>
      </c>
      <c r="T77" s="21" t="n">
        <f aca="false">IF(P77&gt;0,(P77-R77)^2/P77,0)</f>
        <v>0</v>
      </c>
      <c r="U77" s="21" t="n">
        <f aca="false">IF(P77&gt;0,(P77-S77)^2/P77,0)</f>
        <v>0</v>
      </c>
    </row>
    <row r="78" customFormat="false" ht="15" hidden="false" customHeight="false" outlineLevel="0" collapsed="false">
      <c r="O78" s="20" t="n">
        <v>144</v>
      </c>
      <c r="P78" s="9" t="n">
        <f aca="false">COUNTIF(SoLieuTho!$I$9:$I$108,O78)</f>
        <v>0</v>
      </c>
      <c r="Q78" s="21" t="n">
        <f aca="false">SQRT(P78)</f>
        <v>0</v>
      </c>
      <c r="R78" s="21" t="n">
        <f aca="false">$S$7*POISSON(O78,$P$7,FALSE())</f>
        <v>0.0531598094007293</v>
      </c>
      <c r="S78" s="21" t="n">
        <f aca="false">$S$7*NORMDIST(O78,$P$7,SQRT($P$7),FALSE())</f>
        <v>0.0414395727592751</v>
      </c>
      <c r="T78" s="21" t="n">
        <f aca="false">IF(P78&gt;0,(P78-R78)^2/P78,0)</f>
        <v>0</v>
      </c>
      <c r="U78" s="21" t="n">
        <f aca="false">IF(P78&gt;0,(P78-S78)^2/P78,0)</f>
        <v>0</v>
      </c>
    </row>
    <row r="79" customFormat="false" ht="15" hidden="false" customHeight="false" outlineLevel="0" collapsed="false">
      <c r="O79" s="20" t="n">
        <v>145</v>
      </c>
      <c r="P79" s="9" t="n">
        <f aca="false">COUNTIF(SoLieuTho!$I$9:$I$108,O79)</f>
        <v>0</v>
      </c>
      <c r="Q79" s="21" t="n">
        <f aca="false">SQRT(P79)</f>
        <v>0</v>
      </c>
      <c r="R79" s="21" t="n">
        <f aca="false">$S$7*POISSON(O79,$P$7,FALSE())</f>
        <v>0.0411310277011574</v>
      </c>
      <c r="S79" s="21" t="n">
        <f aca="false">$S$7*NORMDIST(O79,$P$7,SQRT($P$7),FALSE())</f>
        <v>0.0310699994505071</v>
      </c>
      <c r="T79" s="21" t="n">
        <f aca="false">IF(P79&gt;0,(P79-R79)^2/P79,0)</f>
        <v>0</v>
      </c>
      <c r="U79" s="21" t="n">
        <f aca="false">IF(P79&gt;0,(P79-S79)^2/P79,0)</f>
        <v>0</v>
      </c>
    </row>
    <row r="80" customFormat="false" ht="15" hidden="false" customHeight="false" outlineLevel="0" collapsed="false">
      <c r="O80" s="20" t="n">
        <v>146</v>
      </c>
      <c r="P80" s="9" t="n">
        <f aca="false">COUNTIF(SoLieuTho!$I$9:$I$108,O80)</f>
        <v>0</v>
      </c>
      <c r="Q80" s="21" t="n">
        <f aca="false">SQRT(P80)</f>
        <v>0</v>
      </c>
      <c r="R80" s="21" t="n">
        <f aca="false">$S$7*POISSON(O80,$P$7,FALSE())</f>
        <v>0.0316060958752935</v>
      </c>
      <c r="S80" s="21" t="n">
        <f aca="false">$S$7*NORMDIST(O80,$P$7,SQRT($P$7),FALSE())</f>
        <v>0.0230885234334142</v>
      </c>
      <c r="T80" s="21" t="n">
        <f aca="false">IF(P80&gt;0,(P80-R80)^2/P80,0)</f>
        <v>0</v>
      </c>
      <c r="U80" s="21" t="n">
        <f aca="false">IF(P80&gt;0,(P80-S80)^2/P80,0)</f>
        <v>0</v>
      </c>
    </row>
    <row r="81" customFormat="false" ht="15" hidden="false" customHeight="false" outlineLevel="0" collapsed="false">
      <c r="O81" s="20" t="n">
        <v>147</v>
      </c>
      <c r="P81" s="9" t="n">
        <f aca="false">COUNTIF(SoLieuTho!$I$9:$I$108,O81)</f>
        <v>0</v>
      </c>
      <c r="Q81" s="21" t="n">
        <f aca="false">SQRT(P81)</f>
        <v>0</v>
      </c>
      <c r="R81" s="21" t="n">
        <f aca="false">$S$7*POISSON(O81,$P$7,FALSE())</f>
        <v>0.024121686369042</v>
      </c>
      <c r="S81" s="21" t="n">
        <f aca="false">$S$7*NORMDIST(O81,$P$7,SQRT($P$7),FALSE())</f>
        <v>0.01700513215383</v>
      </c>
      <c r="T81" s="21" t="n">
        <f aca="false">IF(P81&gt;0,(P81-R81)^2/P81,0)</f>
        <v>0</v>
      </c>
      <c r="U81" s="21" t="n">
        <f aca="false">IF(P81&gt;0,(P81-S81)^2/P81,0)</f>
        <v>0</v>
      </c>
    </row>
    <row r="82" customFormat="false" ht="15" hidden="false" customHeight="false" outlineLevel="0" collapsed="false">
      <c r="O82" s="20" t="n">
        <v>148</v>
      </c>
      <c r="P82" s="9" t="n">
        <f aca="false">COUNTIF(SoLieuTho!$I$9:$I$108,O82)</f>
        <v>0</v>
      </c>
      <c r="Q82" s="21" t="n">
        <f aca="false">SQRT(P82)</f>
        <v>0</v>
      </c>
      <c r="R82" s="21" t="n">
        <f aca="false">$S$7*POISSON(O82,$P$7,FALSE())</f>
        <v>0.018285216173938</v>
      </c>
      <c r="S82" s="21" t="n">
        <f aca="false">$S$7*NORMDIST(O82,$P$7,SQRT($P$7),FALSE())</f>
        <v>0.0124134586174131</v>
      </c>
      <c r="T82" s="21" t="n">
        <f aca="false">IF(P82&gt;0,(P82-R82)^2/P82,0)</f>
        <v>0</v>
      </c>
      <c r="U82" s="21" t="n">
        <f aca="false">IF(P82&gt;0,(P82-S82)^2/P82,0)</f>
        <v>0</v>
      </c>
    </row>
    <row r="83" customFormat="false" ht="15" hidden="false" customHeight="false" outlineLevel="0" collapsed="false">
      <c r="O83" s="20" t="n">
        <v>149</v>
      </c>
      <c r="P83" s="9" t="n">
        <f aca="false">COUNTIF(SoLieuTho!$I$9:$I$108,O83)</f>
        <v>0</v>
      </c>
      <c r="Q83" s="21" t="n">
        <f aca="false">SQRT(P83)</f>
        <v>0</v>
      </c>
      <c r="R83" s="21" t="n">
        <f aca="false">$S$7*POISSON(O83,$P$7,FALSE())</f>
        <v>0.0137679087419738</v>
      </c>
      <c r="S83" s="21" t="n">
        <f aca="false">$S$7*NORMDIST(O83,$P$7,SQRT($P$7),FALSE())</f>
        <v>0.00898120331239347</v>
      </c>
      <c r="T83" s="21" t="n">
        <f aca="false">IF(P83&gt;0,(P83-R83)^2/P83,0)</f>
        <v>0</v>
      </c>
      <c r="U83" s="21" t="n">
        <f aca="false">IF(P83&gt;0,(P83-S83)^2/P83,0)</f>
        <v>0</v>
      </c>
    </row>
    <row r="84" customFormat="false" ht="15" hidden="false" customHeight="false" outlineLevel="0" collapsed="false">
      <c r="O84" s="20" t="n">
        <v>150</v>
      </c>
      <c r="P84" s="9" t="n">
        <f aca="false">COUNTIF(SoLieuTho!$I$9:$I$108,O84)</f>
        <v>0</v>
      </c>
      <c r="Q84" s="21" t="n">
        <f aca="false">SQRT(P84)</f>
        <v>0</v>
      </c>
      <c r="R84" s="21" t="n">
        <f aca="false">$S$7*POISSON(O84,$P$7,FALSE())</f>
        <v>0.0102974778784136</v>
      </c>
      <c r="S84" s="21" t="n">
        <f aca="false">$S$7*NORMDIST(O84,$P$7,SQRT($P$7),FALSE())</f>
        <v>0.00644028657397734</v>
      </c>
      <c r="T84" s="21" t="n">
        <f aca="false">IF(P84&gt;0,(P84-R84)^2/P84,0)</f>
        <v>0</v>
      </c>
      <c r="U84" s="21" t="n">
        <f aca="false">IF(P84&gt;0,(P84-S84)^2/P84,0)</f>
        <v>0</v>
      </c>
    </row>
    <row r="85" customFormat="false" ht="15" hidden="false" customHeight="false" outlineLevel="0" collapsed="false">
      <c r="O85" s="35" t="s">
        <v>179</v>
      </c>
      <c r="P85" s="36" t="n">
        <f aca="false">SUM(P9:P84)</f>
        <v>100</v>
      </c>
      <c r="Q85" s="37"/>
      <c r="R85" s="27" t="n">
        <f aca="false">SUM(R9:R84)</f>
        <v>99.9640567618057</v>
      </c>
      <c r="S85" s="27" t="n">
        <f aca="false">SUM(S9:S84)</f>
        <v>99.9666031018345</v>
      </c>
      <c r="T85" s="27" t="n">
        <f aca="false">SUM(T9:T84)</f>
        <v>34.111203549906</v>
      </c>
      <c r="U85" s="27" t="n">
        <f aca="false">SUM(U9:U84)</f>
        <v>33.4484376938769</v>
      </c>
    </row>
    <row r="86" customFormat="false" ht="15" hidden="false" customHeight="false" outlineLevel="0" collapsed="false">
      <c r="O86" s="38" t="s">
        <v>180</v>
      </c>
      <c r="P86" s="24" t="n">
        <f aca="false">COUNTIF(P9:P84,"&gt;0")</f>
        <v>41</v>
      </c>
    </row>
  </sheetData>
  <mergeCells count="10">
    <mergeCell ref="A1:U1"/>
    <mergeCell ref="A2:U2"/>
    <mergeCell ref="A3:U3"/>
    <mergeCell ref="A4:U4"/>
    <mergeCell ref="A6:G6"/>
    <mergeCell ref="H6:N6"/>
    <mergeCell ref="O6:U6"/>
    <mergeCell ref="B7:C7"/>
    <mergeCell ref="I7:J7"/>
    <mergeCell ref="P7:Q7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25.3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181</v>
      </c>
      <c r="B2" s="2"/>
      <c r="C2" s="2"/>
      <c r="D2" s="2"/>
      <c r="E2" s="2"/>
    </row>
    <row r="3" customFormat="false" ht="25.35" hidden="false" customHeight="true" outlineLevel="0" collapsed="false">
      <c r="A3" s="3" t="s">
        <v>2</v>
      </c>
      <c r="B3" s="3"/>
      <c r="C3" s="3"/>
      <c r="D3" s="3"/>
      <c r="E3" s="3"/>
    </row>
    <row r="4" customFormat="false" ht="15" hidden="false" customHeight="true" outlineLevel="0" collapsed="false">
      <c r="A4" s="39" t="s">
        <v>182</v>
      </c>
      <c r="B4" s="39"/>
      <c r="C4" s="39"/>
      <c r="D4" s="39"/>
    </row>
    <row r="6" customFormat="false" ht="45" hidden="false" customHeight="true" outlineLevel="0" collapsed="false">
      <c r="A6" s="13" t="s">
        <v>183</v>
      </c>
      <c r="B6" s="40" t="s">
        <v>92</v>
      </c>
      <c r="C6" s="40" t="s">
        <v>93</v>
      </c>
      <c r="D6" s="40" t="s">
        <v>94</v>
      </c>
    </row>
    <row r="7" customFormat="false" ht="15" hidden="false" customHeight="false" outlineLevel="0" collapsed="false">
      <c r="A7" s="9" t="n">
        <v>1</v>
      </c>
      <c r="B7" s="41" t="n">
        <f aca="false">SUM(SoLieuTho!$C$9:C9)/SUM(SoLieuTho!$B$9:B9)</f>
        <v>1</v>
      </c>
      <c r="C7" s="41" t="n">
        <f aca="false">SUM(SoLieuTho!$F$9:F9)/SUM(SoLieuTho!$B$9:B9)</f>
        <v>4</v>
      </c>
      <c r="D7" s="41" t="n">
        <f aca="false">SUM(SoLieuTho!$I$9:I9)/SUM(SoLieuTho!$B$9:B9)</f>
        <v>12.6</v>
      </c>
    </row>
    <row r="8" customFormat="false" ht="15" hidden="false" customHeight="false" outlineLevel="0" collapsed="false">
      <c r="A8" s="9" t="n">
        <v>2</v>
      </c>
      <c r="B8" s="41" t="n">
        <f aca="false">SUM(SoLieuTho!$C$9:C10)/SUM(SoLieuTho!$B$9:B10)</f>
        <v>0.95</v>
      </c>
      <c r="C8" s="41" t="n">
        <f aca="false">SUM(SoLieuTho!$F$9:F10)/SUM(SoLieuTho!$B$9:B10)</f>
        <v>3.3</v>
      </c>
      <c r="D8" s="41" t="n">
        <f aca="false">SUM(SoLieuTho!$I$9:I10)/SUM(SoLieuTho!$B$9:B10)</f>
        <v>12.05</v>
      </c>
    </row>
    <row r="9" customFormat="false" ht="15" hidden="false" customHeight="false" outlineLevel="0" collapsed="false">
      <c r="A9" s="9" t="n">
        <v>3</v>
      </c>
      <c r="B9" s="41" t="n">
        <f aca="false">SUM(SoLieuTho!$C$9:C11)/SUM(SoLieuTho!$B$9:B11)</f>
        <v>0.866666666666667</v>
      </c>
      <c r="C9" s="41" t="n">
        <f aca="false">SUM(SoLieuTho!$F$9:F11)/SUM(SoLieuTho!$B$9:B11)</f>
        <v>3.3</v>
      </c>
      <c r="D9" s="41" t="n">
        <f aca="false">SUM(SoLieuTho!$I$9:I11)/SUM(SoLieuTho!$B$9:B11)</f>
        <v>11.6666666666667</v>
      </c>
    </row>
    <row r="10" customFormat="false" ht="15" hidden="false" customHeight="false" outlineLevel="0" collapsed="false">
      <c r="A10" s="9" t="n">
        <v>4</v>
      </c>
      <c r="B10" s="41" t="n">
        <f aca="false">SUM(SoLieuTho!$C$9:C12)/SUM(SoLieuTho!$B$9:B12)</f>
        <v>0.875</v>
      </c>
      <c r="C10" s="41" t="n">
        <f aca="false">SUM(SoLieuTho!$F$9:F12)/SUM(SoLieuTho!$B$9:B12)</f>
        <v>3.325</v>
      </c>
      <c r="D10" s="41" t="n">
        <f aca="false">SUM(SoLieuTho!$I$9:I12)/SUM(SoLieuTho!$B$9:B12)</f>
        <v>11.95</v>
      </c>
    </row>
    <row r="11" customFormat="false" ht="15" hidden="false" customHeight="false" outlineLevel="0" collapsed="false">
      <c r="A11" s="9" t="n">
        <v>5</v>
      </c>
      <c r="B11" s="41" t="n">
        <f aca="false">SUM(SoLieuTho!$C$9:C13)/SUM(SoLieuTho!$B$9:B13)</f>
        <v>0.8</v>
      </c>
      <c r="C11" s="41" t="n">
        <f aca="false">SUM(SoLieuTho!$F$9:F13)/SUM(SoLieuTho!$B$9:B13)</f>
        <v>3.4</v>
      </c>
      <c r="D11" s="41" t="n">
        <f aca="false">SUM(SoLieuTho!$I$9:I13)/SUM(SoLieuTho!$B$9:B13)</f>
        <v>12.24</v>
      </c>
    </row>
    <row r="12" customFormat="false" ht="15" hidden="false" customHeight="false" outlineLevel="0" collapsed="false">
      <c r="A12" s="9" t="n">
        <v>6</v>
      </c>
      <c r="B12" s="41" t="n">
        <f aca="false">SUM(SoLieuTho!$C$9:C14)/SUM(SoLieuTho!$B$9:B14)</f>
        <v>0.783333333333333</v>
      </c>
      <c r="C12" s="41" t="n">
        <f aca="false">SUM(SoLieuTho!$F$9:F14)/SUM(SoLieuTho!$B$9:B14)</f>
        <v>3.6</v>
      </c>
      <c r="D12" s="41" t="n">
        <f aca="false">SUM(SoLieuTho!$I$9:I14)/SUM(SoLieuTho!$B$9:B14)</f>
        <v>12.0666666666667</v>
      </c>
    </row>
    <row r="13" customFormat="false" ht="15" hidden="false" customHeight="false" outlineLevel="0" collapsed="false">
      <c r="A13" s="9" t="n">
        <v>7</v>
      </c>
      <c r="B13" s="41" t="n">
        <f aca="false">SUM(SoLieuTho!$C$9:C15)/SUM(SoLieuTho!$B$9:B15)</f>
        <v>0.757142857142857</v>
      </c>
      <c r="C13" s="41" t="n">
        <f aca="false">SUM(SoLieuTho!$F$9:F15)/SUM(SoLieuTho!$B$9:B15)</f>
        <v>3.5</v>
      </c>
      <c r="D13" s="41" t="n">
        <f aca="false">SUM(SoLieuTho!$I$9:I15)/SUM(SoLieuTho!$B$9:B15)</f>
        <v>11.8142857142857</v>
      </c>
    </row>
    <row r="14" customFormat="false" ht="15" hidden="false" customHeight="false" outlineLevel="0" collapsed="false">
      <c r="A14" s="9" t="n">
        <v>8</v>
      </c>
      <c r="B14" s="41" t="n">
        <f aca="false">SUM(SoLieuTho!$C$9:C16)/SUM(SoLieuTho!$B$9:B16)</f>
        <v>0.7625</v>
      </c>
      <c r="C14" s="41" t="n">
        <f aca="false">SUM(SoLieuTho!$F$9:F16)/SUM(SoLieuTho!$B$9:B16)</f>
        <v>3.525</v>
      </c>
      <c r="D14" s="41" t="n">
        <f aca="false">SUM(SoLieuTho!$I$9:I16)/SUM(SoLieuTho!$B$9:B16)</f>
        <v>11.65</v>
      </c>
    </row>
    <row r="15" customFormat="false" ht="15" hidden="false" customHeight="false" outlineLevel="0" collapsed="false">
      <c r="A15" s="9" t="n">
        <v>9</v>
      </c>
      <c r="B15" s="41" t="n">
        <f aca="false">SUM(SoLieuTho!$C$9:C17)/SUM(SoLieuTho!$B$9:B17)</f>
        <v>0.733333333333333</v>
      </c>
      <c r="C15" s="41" t="n">
        <f aca="false">SUM(SoLieuTho!$F$9:F17)/SUM(SoLieuTho!$B$9:B17)</f>
        <v>3.5</v>
      </c>
      <c r="D15" s="41" t="n">
        <f aca="false">SUM(SoLieuTho!$I$9:I17)/SUM(SoLieuTho!$B$9:B17)</f>
        <v>11.5111111111111</v>
      </c>
    </row>
    <row r="16" customFormat="false" ht="15" hidden="false" customHeight="false" outlineLevel="0" collapsed="false">
      <c r="A16" s="9" t="n">
        <v>10</v>
      </c>
      <c r="B16" s="41" t="n">
        <f aca="false">SUM(SoLieuTho!$C$9:C18)/SUM(SoLieuTho!$B$9:B18)</f>
        <v>0.7</v>
      </c>
      <c r="C16" s="41" t="n">
        <f aca="false">SUM(SoLieuTho!$F$9:F18)/SUM(SoLieuTho!$B$9:B18)</f>
        <v>3.48</v>
      </c>
      <c r="D16" s="41" t="n">
        <f aca="false">SUM(SoLieuTho!$I$9:I18)/SUM(SoLieuTho!$B$9:B18)</f>
        <v>11.51</v>
      </c>
    </row>
    <row r="17" customFormat="false" ht="15" hidden="false" customHeight="false" outlineLevel="0" collapsed="false">
      <c r="A17" s="9" t="n">
        <v>11</v>
      </c>
      <c r="B17" s="41" t="n">
        <f aca="false">SUM(SoLieuTho!$C$9:C19)/SUM(SoLieuTho!$B$9:B19)</f>
        <v>0.690909090909091</v>
      </c>
      <c r="C17" s="41" t="n">
        <f aca="false">SUM(SoLieuTho!$F$9:F19)/SUM(SoLieuTho!$B$9:B19)</f>
        <v>3.55454545454545</v>
      </c>
      <c r="D17" s="41" t="n">
        <f aca="false">SUM(SoLieuTho!$I$9:I19)/SUM(SoLieuTho!$B$9:B19)</f>
        <v>11.3727272727273</v>
      </c>
    </row>
    <row r="18" customFormat="false" ht="15" hidden="false" customHeight="false" outlineLevel="0" collapsed="false">
      <c r="A18" s="9" t="n">
        <v>12</v>
      </c>
      <c r="B18" s="41" t="n">
        <f aca="false">SUM(SoLieuTho!$C$9:C20)/SUM(SoLieuTho!$B$9:B20)</f>
        <v>0.666666666666667</v>
      </c>
      <c r="C18" s="41" t="n">
        <f aca="false">SUM(SoLieuTho!$F$9:F20)/SUM(SoLieuTho!$B$9:B20)</f>
        <v>3.60833333333333</v>
      </c>
      <c r="D18" s="41" t="n">
        <f aca="false">SUM(SoLieuTho!$I$9:I20)/SUM(SoLieuTho!$B$9:B20)</f>
        <v>11.2166666666667</v>
      </c>
    </row>
    <row r="19" customFormat="false" ht="15" hidden="false" customHeight="false" outlineLevel="0" collapsed="false">
      <c r="A19" s="9" t="n">
        <v>13</v>
      </c>
      <c r="B19" s="41" t="n">
        <f aca="false">SUM(SoLieuTho!$C$9:C21)/SUM(SoLieuTho!$B$9:B21)</f>
        <v>0.669230769230769</v>
      </c>
      <c r="C19" s="41" t="n">
        <f aca="false">SUM(SoLieuTho!$F$9:F21)/SUM(SoLieuTho!$B$9:B21)</f>
        <v>3.64615384615385</v>
      </c>
      <c r="D19" s="41" t="n">
        <f aca="false">SUM(SoLieuTho!$I$9:I21)/SUM(SoLieuTho!$B$9:B21)</f>
        <v>11.2230769230769</v>
      </c>
    </row>
    <row r="20" customFormat="false" ht="15" hidden="false" customHeight="false" outlineLevel="0" collapsed="false">
      <c r="A20" s="9" t="n">
        <v>14</v>
      </c>
      <c r="B20" s="41" t="n">
        <f aca="false">SUM(SoLieuTho!$C$9:C22)/SUM(SoLieuTho!$B$9:B22)</f>
        <v>0.692857142857143</v>
      </c>
      <c r="C20" s="41" t="n">
        <f aca="false">SUM(SoLieuTho!$F$9:F22)/SUM(SoLieuTho!$B$9:B22)</f>
        <v>3.64285714285714</v>
      </c>
      <c r="D20" s="41" t="n">
        <f aca="false">SUM(SoLieuTho!$I$9:I22)/SUM(SoLieuTho!$B$9:B22)</f>
        <v>11.2714285714286</v>
      </c>
    </row>
    <row r="21" customFormat="false" ht="15" hidden="false" customHeight="false" outlineLevel="0" collapsed="false">
      <c r="A21" s="9" t="n">
        <v>15</v>
      </c>
      <c r="B21" s="41" t="n">
        <f aca="false">SUM(SoLieuTho!$C$9:C23)/SUM(SoLieuTho!$B$9:B23)</f>
        <v>0.686666666666667</v>
      </c>
      <c r="C21" s="41" t="n">
        <f aca="false">SUM(SoLieuTho!$F$9:F23)/SUM(SoLieuTho!$B$9:B23)</f>
        <v>3.7</v>
      </c>
      <c r="D21" s="41" t="n">
        <f aca="false">SUM(SoLieuTho!$I$9:I23)/SUM(SoLieuTho!$B$9:B23)</f>
        <v>11.2666666666667</v>
      </c>
    </row>
    <row r="22" customFormat="false" ht="15" hidden="false" customHeight="false" outlineLevel="0" collapsed="false">
      <c r="A22" s="9" t="n">
        <v>16</v>
      </c>
      <c r="B22" s="41" t="n">
        <f aca="false">SUM(SoLieuTho!$C$9:C24)/SUM(SoLieuTho!$B$9:B24)</f>
        <v>0.65625</v>
      </c>
      <c r="C22" s="41" t="n">
        <f aca="false">SUM(SoLieuTho!$F$9:F24)/SUM(SoLieuTho!$B$9:B24)</f>
        <v>3.75</v>
      </c>
      <c r="D22" s="41" t="n">
        <f aca="false">SUM(SoLieuTho!$I$9:I24)/SUM(SoLieuTho!$B$9:B24)</f>
        <v>11.3</v>
      </c>
    </row>
    <row r="23" customFormat="false" ht="15" hidden="false" customHeight="false" outlineLevel="0" collapsed="false">
      <c r="A23" s="9" t="n">
        <v>17</v>
      </c>
      <c r="B23" s="41" t="n">
        <f aca="false">SUM(SoLieuTho!$C$9:C25)/SUM(SoLieuTho!$B$9:B25)</f>
        <v>0.647058823529412</v>
      </c>
      <c r="C23" s="41" t="n">
        <f aca="false">SUM(SoLieuTho!$F$9:F25)/SUM(SoLieuTho!$B$9:B25)</f>
        <v>3.74705882352941</v>
      </c>
      <c r="D23" s="41" t="n">
        <f aca="false">SUM(SoLieuTho!$I$9:I25)/SUM(SoLieuTho!$B$9:B25)</f>
        <v>11.2352941176471</v>
      </c>
    </row>
    <row r="24" customFormat="false" ht="15" hidden="false" customHeight="false" outlineLevel="0" collapsed="false">
      <c r="A24" s="9" t="n">
        <v>18</v>
      </c>
      <c r="B24" s="41" t="n">
        <f aca="false">SUM(SoLieuTho!$C$9:C26)/SUM(SoLieuTho!$B$9:B26)</f>
        <v>0.655555555555556</v>
      </c>
      <c r="C24" s="41" t="n">
        <f aca="false">SUM(SoLieuTho!$F$9:F26)/SUM(SoLieuTho!$B$9:B26)</f>
        <v>3.82222222222222</v>
      </c>
      <c r="D24" s="41" t="n">
        <f aca="false">SUM(SoLieuTho!$I$9:I26)/SUM(SoLieuTho!$B$9:B26)</f>
        <v>11.2166666666667</v>
      </c>
    </row>
    <row r="25" customFormat="false" ht="15" hidden="false" customHeight="false" outlineLevel="0" collapsed="false">
      <c r="A25" s="9" t="n">
        <v>19</v>
      </c>
      <c r="B25" s="41" t="n">
        <f aca="false">SUM(SoLieuTho!$C$9:C27)/SUM(SoLieuTho!$B$9:B27)</f>
        <v>0.652631578947369</v>
      </c>
      <c r="C25" s="41" t="n">
        <f aca="false">SUM(SoLieuTho!$F$9:F27)/SUM(SoLieuTho!$B$9:B27)</f>
        <v>3.86315789473684</v>
      </c>
      <c r="D25" s="41" t="n">
        <f aca="false">SUM(SoLieuTho!$I$9:I27)/SUM(SoLieuTho!$B$9:B27)</f>
        <v>11.1894736842105</v>
      </c>
    </row>
    <row r="26" customFormat="false" ht="15" hidden="false" customHeight="false" outlineLevel="0" collapsed="false">
      <c r="A26" s="9" t="n">
        <v>20</v>
      </c>
      <c r="B26" s="41" t="n">
        <f aca="false">SUM(SoLieuTho!$C$9:C28)/SUM(SoLieuTho!$B$9:B28)</f>
        <v>0.635</v>
      </c>
      <c r="C26" s="41" t="n">
        <f aca="false">SUM(SoLieuTho!$F$9:F28)/SUM(SoLieuTho!$B$9:B28)</f>
        <v>3.905</v>
      </c>
      <c r="D26" s="41" t="n">
        <f aca="false">SUM(SoLieuTho!$I$9:I28)/SUM(SoLieuTho!$B$9:B28)</f>
        <v>11.175</v>
      </c>
    </row>
    <row r="27" customFormat="false" ht="15" hidden="false" customHeight="false" outlineLevel="0" collapsed="false">
      <c r="A27" s="9" t="n">
        <v>21</v>
      </c>
      <c r="B27" s="41" t="n">
        <f aca="false">SUM(SoLieuTho!$C$9:C29)/SUM(SoLieuTho!$B$9:B29)</f>
        <v>0.652380952380952</v>
      </c>
      <c r="C27" s="41" t="n">
        <f aca="false">SUM(SoLieuTho!$F$9:F29)/SUM(SoLieuTho!$B$9:B29)</f>
        <v>3.97619047619048</v>
      </c>
      <c r="D27" s="41" t="n">
        <f aca="false">SUM(SoLieuTho!$I$9:I29)/SUM(SoLieuTho!$B$9:B29)</f>
        <v>11.0904761904762</v>
      </c>
    </row>
    <row r="28" customFormat="false" ht="15" hidden="false" customHeight="false" outlineLevel="0" collapsed="false">
      <c r="A28" s="9" t="n">
        <v>22</v>
      </c>
      <c r="B28" s="41" t="n">
        <f aca="false">SUM(SoLieuTho!$C$9:C30)/SUM(SoLieuTho!$B$9:B30)</f>
        <v>0.65</v>
      </c>
      <c r="C28" s="41" t="n">
        <f aca="false">SUM(SoLieuTho!$F$9:F30)/SUM(SoLieuTho!$B$9:B30)</f>
        <v>3.93181818181818</v>
      </c>
      <c r="D28" s="41" t="n">
        <f aca="false">SUM(SoLieuTho!$I$9:I30)/SUM(SoLieuTho!$B$9:B30)</f>
        <v>11.0181818181818</v>
      </c>
    </row>
    <row r="29" customFormat="false" ht="15" hidden="false" customHeight="false" outlineLevel="0" collapsed="false">
      <c r="A29" s="9" t="n">
        <v>23</v>
      </c>
      <c r="B29" s="41" t="n">
        <f aca="false">SUM(SoLieuTho!$C$9:C31)/SUM(SoLieuTho!$B$9:B31)</f>
        <v>0.647826086956522</v>
      </c>
      <c r="C29" s="41" t="n">
        <f aca="false">SUM(SoLieuTho!$F$9:F31)/SUM(SoLieuTho!$B$9:B31)</f>
        <v>3.93478260869565</v>
      </c>
      <c r="D29" s="41" t="n">
        <f aca="false">SUM(SoLieuTho!$I$9:I31)/SUM(SoLieuTho!$B$9:B31)</f>
        <v>11.0173913043478</v>
      </c>
    </row>
    <row r="30" customFormat="false" ht="15" hidden="false" customHeight="false" outlineLevel="0" collapsed="false">
      <c r="A30" s="9" t="n">
        <v>24</v>
      </c>
      <c r="B30" s="41" t="n">
        <f aca="false">SUM(SoLieuTho!$C$9:C32)/SUM(SoLieuTho!$B$9:B32)</f>
        <v>0.633333333333333</v>
      </c>
      <c r="C30" s="41" t="n">
        <f aca="false">SUM(SoLieuTho!$F$9:F32)/SUM(SoLieuTho!$B$9:B32)</f>
        <v>3.95</v>
      </c>
      <c r="D30" s="41" t="n">
        <f aca="false">SUM(SoLieuTho!$I$9:I32)/SUM(SoLieuTho!$B$9:B32)</f>
        <v>11.0583333333333</v>
      </c>
    </row>
    <row r="31" customFormat="false" ht="15" hidden="false" customHeight="false" outlineLevel="0" collapsed="false">
      <c r="A31" s="9" t="n">
        <v>25</v>
      </c>
      <c r="B31" s="41" t="n">
        <f aca="false">SUM(SoLieuTho!$C$9:C33)/SUM(SoLieuTho!$B$9:B33)</f>
        <v>0.644</v>
      </c>
      <c r="C31" s="41" t="n">
        <f aca="false">SUM(SoLieuTho!$F$9:F33)/SUM(SoLieuTho!$B$9:B33)</f>
        <v>3.98</v>
      </c>
      <c r="D31" s="41" t="n">
        <f aca="false">SUM(SoLieuTho!$I$9:I33)/SUM(SoLieuTho!$B$9:B33)</f>
        <v>11.072</v>
      </c>
    </row>
    <row r="32" customFormat="false" ht="15" hidden="false" customHeight="false" outlineLevel="0" collapsed="false">
      <c r="A32" s="9" t="n">
        <v>26</v>
      </c>
      <c r="B32" s="41" t="n">
        <f aca="false">SUM(SoLieuTho!$C$9:C34)/SUM(SoLieuTho!$B$9:B34)</f>
        <v>0.626923076923077</v>
      </c>
      <c r="C32" s="41" t="n">
        <f aca="false">SUM(SoLieuTho!$F$9:F34)/SUM(SoLieuTho!$B$9:B34)</f>
        <v>4</v>
      </c>
      <c r="D32" s="41" t="n">
        <f aca="false">SUM(SoLieuTho!$I$9:I34)/SUM(SoLieuTho!$B$9:B34)</f>
        <v>11.0538461538462</v>
      </c>
    </row>
    <row r="33" customFormat="false" ht="15" hidden="false" customHeight="false" outlineLevel="0" collapsed="false">
      <c r="A33" s="9" t="n">
        <v>27</v>
      </c>
      <c r="B33" s="41" t="n">
        <f aca="false">SUM(SoLieuTho!$C$9:C35)/SUM(SoLieuTho!$B$9:B35)</f>
        <v>0.625925925925926</v>
      </c>
      <c r="C33" s="41" t="n">
        <f aca="false">SUM(SoLieuTho!$F$9:F35)/SUM(SoLieuTho!$B$9:B35)</f>
        <v>4.01481481481482</v>
      </c>
      <c r="D33" s="41" t="n">
        <f aca="false">SUM(SoLieuTho!$I$9:I35)/SUM(SoLieuTho!$B$9:B35)</f>
        <v>11.062962962963</v>
      </c>
    </row>
    <row r="34" customFormat="false" ht="15" hidden="false" customHeight="false" outlineLevel="0" collapsed="false">
      <c r="A34" s="9" t="n">
        <v>28</v>
      </c>
      <c r="B34" s="41" t="n">
        <f aca="false">SUM(SoLieuTho!$C$9:C36)/SUM(SoLieuTho!$B$9:B36)</f>
        <v>0.610714285714286</v>
      </c>
      <c r="C34" s="41" t="n">
        <f aca="false">SUM(SoLieuTho!$F$9:F36)/SUM(SoLieuTho!$B$9:B36)</f>
        <v>4.01071428571429</v>
      </c>
      <c r="D34" s="41" t="n">
        <f aca="false">SUM(SoLieuTho!$I$9:I36)/SUM(SoLieuTho!$B$9:B36)</f>
        <v>11.1</v>
      </c>
    </row>
    <row r="35" customFormat="false" ht="15" hidden="false" customHeight="false" outlineLevel="0" collapsed="false">
      <c r="A35" s="9" t="n">
        <v>29</v>
      </c>
      <c r="B35" s="41" t="n">
        <f aca="false">SUM(SoLieuTho!$C$9:C37)/SUM(SoLieuTho!$B$9:B37)</f>
        <v>0.610344827586207</v>
      </c>
      <c r="C35" s="41" t="n">
        <f aca="false">SUM(SoLieuTho!$F$9:F37)/SUM(SoLieuTho!$B$9:B37)</f>
        <v>3.99310344827586</v>
      </c>
      <c r="D35" s="41" t="n">
        <f aca="false">SUM(SoLieuTho!$I$9:I37)/SUM(SoLieuTho!$B$9:B37)</f>
        <v>11.1379310344828</v>
      </c>
    </row>
    <row r="36" customFormat="false" ht="15" hidden="false" customHeight="false" outlineLevel="0" collapsed="false">
      <c r="A36" s="9" t="n">
        <v>30</v>
      </c>
      <c r="B36" s="41" t="n">
        <f aca="false">SUM(SoLieuTho!$C$9:C38)/SUM(SoLieuTho!$B$9:B38)</f>
        <v>0.623333333333333</v>
      </c>
      <c r="C36" s="41" t="n">
        <f aca="false">SUM(SoLieuTho!$F$9:F38)/SUM(SoLieuTho!$B$9:B38)</f>
        <v>4.01</v>
      </c>
      <c r="D36" s="41" t="n">
        <f aca="false">SUM(SoLieuTho!$I$9:I38)/SUM(SoLieuTho!$B$9:B38)</f>
        <v>11.1866666666667</v>
      </c>
    </row>
    <row r="37" customFormat="false" ht="15" hidden="false" customHeight="false" outlineLevel="0" collapsed="false">
      <c r="A37" s="9" t="n">
        <v>31</v>
      </c>
      <c r="B37" s="41" t="n">
        <f aca="false">SUM(SoLieuTho!$C$9:C39)/SUM(SoLieuTho!$B$9:B39)</f>
        <v>0.606451612903226</v>
      </c>
      <c r="C37" s="41" t="n">
        <f aca="false">SUM(SoLieuTho!$F$9:F39)/SUM(SoLieuTho!$B$9:B39)</f>
        <v>3.99354838709677</v>
      </c>
      <c r="D37" s="41" t="n">
        <f aca="false">SUM(SoLieuTho!$I$9:I39)/SUM(SoLieuTho!$B$9:B39)</f>
        <v>11.1645161290323</v>
      </c>
    </row>
    <row r="38" customFormat="false" ht="15" hidden="false" customHeight="false" outlineLevel="0" collapsed="false">
      <c r="A38" s="9" t="n">
        <v>32</v>
      </c>
      <c r="B38" s="41" t="n">
        <f aca="false">SUM(SoLieuTho!$C$9:C40)/SUM(SoLieuTho!$B$9:B40)</f>
        <v>0.603125</v>
      </c>
      <c r="C38" s="41" t="n">
        <f aca="false">SUM(SoLieuTho!$F$9:F40)/SUM(SoLieuTho!$B$9:B40)</f>
        <v>4</v>
      </c>
      <c r="D38" s="41" t="n">
        <f aca="false">SUM(SoLieuTho!$I$9:I40)/SUM(SoLieuTho!$B$9:B40)</f>
        <v>11.171875</v>
      </c>
    </row>
    <row r="39" customFormat="false" ht="15" hidden="false" customHeight="false" outlineLevel="0" collapsed="false">
      <c r="A39" s="9" t="n">
        <v>33</v>
      </c>
      <c r="B39" s="41" t="n">
        <f aca="false">SUM(SoLieuTho!$C$9:C41)/SUM(SoLieuTho!$B$9:B41)</f>
        <v>0.606060606060606</v>
      </c>
      <c r="C39" s="41" t="n">
        <f aca="false">SUM(SoLieuTho!$F$9:F41)/SUM(SoLieuTho!$B$9:B41)</f>
        <v>4.01818181818182</v>
      </c>
      <c r="D39" s="41" t="n">
        <f aca="false">SUM(SoLieuTho!$I$9:I41)/SUM(SoLieuTho!$B$9:B41)</f>
        <v>11.1787878787879</v>
      </c>
    </row>
    <row r="40" customFormat="false" ht="15" hidden="false" customHeight="false" outlineLevel="0" collapsed="false">
      <c r="A40" s="9" t="n">
        <v>34</v>
      </c>
      <c r="B40" s="41" t="n">
        <f aca="false">SUM(SoLieuTho!$C$9:C42)/SUM(SoLieuTho!$B$9:B42)</f>
        <v>0.608823529411765</v>
      </c>
      <c r="C40" s="41" t="n">
        <f aca="false">SUM(SoLieuTho!$F$9:F42)/SUM(SoLieuTho!$B$9:B42)</f>
        <v>4.05</v>
      </c>
      <c r="D40" s="41" t="n">
        <f aca="false">SUM(SoLieuTho!$I$9:I42)/SUM(SoLieuTho!$B$9:B42)</f>
        <v>11.2264705882353</v>
      </c>
    </row>
    <row r="41" customFormat="false" ht="15" hidden="false" customHeight="false" outlineLevel="0" collapsed="false">
      <c r="A41" s="9" t="n">
        <v>35</v>
      </c>
      <c r="B41" s="41" t="n">
        <f aca="false">SUM(SoLieuTho!$C$9:C43)/SUM(SoLieuTho!$B$9:B43)</f>
        <v>0.602857142857143</v>
      </c>
      <c r="C41" s="41" t="n">
        <f aca="false">SUM(SoLieuTho!$F$9:F43)/SUM(SoLieuTho!$B$9:B43)</f>
        <v>4.07428571428571</v>
      </c>
      <c r="D41" s="41" t="n">
        <f aca="false">SUM(SoLieuTho!$I$9:I43)/SUM(SoLieuTho!$B$9:B43)</f>
        <v>11.2</v>
      </c>
    </row>
    <row r="42" customFormat="false" ht="15" hidden="false" customHeight="false" outlineLevel="0" collapsed="false">
      <c r="A42" s="9" t="n">
        <v>36</v>
      </c>
      <c r="B42" s="41" t="n">
        <f aca="false">SUM(SoLieuTho!$C$9:C44)/SUM(SoLieuTho!$B$9:B44)</f>
        <v>0.597222222222222</v>
      </c>
      <c r="C42" s="41" t="n">
        <f aca="false">SUM(SoLieuTho!$F$9:F44)/SUM(SoLieuTho!$B$9:B44)</f>
        <v>4.06666666666667</v>
      </c>
      <c r="D42" s="41" t="n">
        <f aca="false">SUM(SoLieuTho!$I$9:I44)/SUM(SoLieuTho!$B$9:B44)</f>
        <v>11.2138888888889</v>
      </c>
    </row>
    <row r="43" customFormat="false" ht="15" hidden="false" customHeight="false" outlineLevel="0" collapsed="false">
      <c r="A43" s="9" t="n">
        <v>37</v>
      </c>
      <c r="B43" s="41" t="n">
        <f aca="false">SUM(SoLieuTho!$C$9:C45)/SUM(SoLieuTho!$B$9:B45)</f>
        <v>0.597297297297297</v>
      </c>
      <c r="C43" s="41" t="n">
        <f aca="false">SUM(SoLieuTho!$F$9:F45)/SUM(SoLieuTho!$B$9:B45)</f>
        <v>4.07027027027027</v>
      </c>
      <c r="D43" s="41" t="n">
        <f aca="false">SUM(SoLieuTho!$I$9:I45)/SUM(SoLieuTho!$B$9:B45)</f>
        <v>11.1945945945946</v>
      </c>
    </row>
    <row r="44" customFormat="false" ht="15" hidden="false" customHeight="false" outlineLevel="0" collapsed="false">
      <c r="A44" s="9" t="n">
        <v>38</v>
      </c>
      <c r="B44" s="41" t="n">
        <f aca="false">SUM(SoLieuTho!$C$9:C46)/SUM(SoLieuTho!$B$9:B46)</f>
        <v>0.594736842105263</v>
      </c>
      <c r="C44" s="41" t="n">
        <f aca="false">SUM(SoLieuTho!$F$9:F46)/SUM(SoLieuTho!$B$9:B46)</f>
        <v>4.05789473684211</v>
      </c>
      <c r="D44" s="41" t="n">
        <f aca="false">SUM(SoLieuTho!$I$9:I46)/SUM(SoLieuTho!$B$9:B46)</f>
        <v>11.1947368421053</v>
      </c>
    </row>
    <row r="45" customFormat="false" ht="15" hidden="false" customHeight="false" outlineLevel="0" collapsed="false">
      <c r="A45" s="9" t="n">
        <v>39</v>
      </c>
      <c r="B45" s="41" t="n">
        <f aca="false">SUM(SoLieuTho!$C$9:C47)/SUM(SoLieuTho!$B$9:B47)</f>
        <v>0.597435897435897</v>
      </c>
      <c r="C45" s="41" t="n">
        <f aca="false">SUM(SoLieuTho!$F$9:F47)/SUM(SoLieuTho!$B$9:B47)</f>
        <v>4.08717948717949</v>
      </c>
      <c r="D45" s="41" t="n">
        <f aca="false">SUM(SoLieuTho!$I$9:I47)/SUM(SoLieuTho!$B$9:B47)</f>
        <v>11.1948717948718</v>
      </c>
    </row>
    <row r="46" customFormat="false" ht="15" hidden="false" customHeight="false" outlineLevel="0" collapsed="false">
      <c r="A46" s="9" t="n">
        <v>40</v>
      </c>
      <c r="B46" s="41" t="n">
        <f aca="false">SUM(SoLieuTho!$C$9:C48)/SUM(SoLieuTho!$B$9:B48)</f>
        <v>0.5925</v>
      </c>
      <c r="C46" s="41" t="n">
        <f aca="false">SUM(SoLieuTho!$F$9:F48)/SUM(SoLieuTho!$B$9:B48)</f>
        <v>4.0825</v>
      </c>
      <c r="D46" s="41" t="n">
        <f aca="false">SUM(SoLieuTho!$I$9:I48)/SUM(SoLieuTho!$B$9:B48)</f>
        <v>11.2125</v>
      </c>
    </row>
    <row r="47" customFormat="false" ht="15" hidden="false" customHeight="false" outlineLevel="0" collapsed="false">
      <c r="A47" s="9" t="n">
        <v>41</v>
      </c>
      <c r="B47" s="41" t="n">
        <f aca="false">SUM(SoLieuTho!$C$9:C49)/SUM(SoLieuTho!$B$9:B49)</f>
        <v>0.580487804878049</v>
      </c>
      <c r="C47" s="41" t="n">
        <f aca="false">SUM(SoLieuTho!$F$9:F49)/SUM(SoLieuTho!$B$9:B49)</f>
        <v>4.10243902439024</v>
      </c>
      <c r="D47" s="41" t="n">
        <f aca="false">SUM(SoLieuTho!$I$9:I49)/SUM(SoLieuTho!$B$9:B49)</f>
        <v>11.2243902439024</v>
      </c>
    </row>
    <row r="48" customFormat="false" ht="15" hidden="false" customHeight="false" outlineLevel="0" collapsed="false">
      <c r="A48" s="9" t="n">
        <v>42</v>
      </c>
      <c r="B48" s="41" t="n">
        <f aca="false">SUM(SoLieuTho!$C$9:C50)/SUM(SoLieuTho!$B$9:B50)</f>
        <v>0.588095238095238</v>
      </c>
      <c r="C48" s="41" t="n">
        <f aca="false">SUM(SoLieuTho!$F$9:F50)/SUM(SoLieuTho!$B$9:B50)</f>
        <v>4.07380952380952</v>
      </c>
      <c r="D48" s="41" t="n">
        <f aca="false">SUM(SoLieuTho!$I$9:I50)/SUM(SoLieuTho!$B$9:B50)</f>
        <v>11.2047619047619</v>
      </c>
    </row>
    <row r="49" customFormat="false" ht="15" hidden="false" customHeight="false" outlineLevel="0" collapsed="false">
      <c r="A49" s="9" t="n">
        <v>43</v>
      </c>
      <c r="B49" s="41" t="n">
        <f aca="false">SUM(SoLieuTho!$C$9:C51)/SUM(SoLieuTho!$B$9:B51)</f>
        <v>0.588372093023256</v>
      </c>
      <c r="C49" s="41" t="n">
        <f aca="false">SUM(SoLieuTho!$F$9:F51)/SUM(SoLieuTho!$B$9:B51)</f>
        <v>4.05813953488372</v>
      </c>
      <c r="D49" s="41" t="n">
        <f aca="false">SUM(SoLieuTho!$I$9:I51)/SUM(SoLieuTho!$B$9:B51)</f>
        <v>11.2139534883721</v>
      </c>
    </row>
    <row r="50" customFormat="false" ht="15" hidden="false" customHeight="false" outlineLevel="0" collapsed="false">
      <c r="A50" s="9" t="n">
        <v>44</v>
      </c>
      <c r="B50" s="41" t="n">
        <f aca="false">SUM(SoLieuTho!$C$9:C52)/SUM(SoLieuTho!$B$9:B52)</f>
        <v>0.588636363636364</v>
      </c>
      <c r="C50" s="41" t="n">
        <f aca="false">SUM(SoLieuTho!$F$9:F52)/SUM(SoLieuTho!$B$9:B52)</f>
        <v>4.07272727272727</v>
      </c>
      <c r="D50" s="41" t="n">
        <f aca="false">SUM(SoLieuTho!$I$9:I52)/SUM(SoLieuTho!$B$9:B52)</f>
        <v>11.25</v>
      </c>
    </row>
    <row r="51" customFormat="false" ht="15" hidden="false" customHeight="false" outlineLevel="0" collapsed="false">
      <c r="A51" s="9" t="n">
        <v>45</v>
      </c>
      <c r="B51" s="41" t="n">
        <f aca="false">SUM(SoLieuTho!$C$9:C53)/SUM(SoLieuTho!$B$9:B53)</f>
        <v>0.584444444444444</v>
      </c>
      <c r="C51" s="41" t="n">
        <f aca="false">SUM(SoLieuTho!$F$9:F53)/SUM(SoLieuTho!$B$9:B53)</f>
        <v>4.07111111111111</v>
      </c>
      <c r="D51" s="41" t="n">
        <f aca="false">SUM(SoLieuTho!$I$9:I53)/SUM(SoLieuTho!$B$9:B53)</f>
        <v>11.2644444444444</v>
      </c>
    </row>
    <row r="52" customFormat="false" ht="15" hidden="false" customHeight="false" outlineLevel="0" collapsed="false">
      <c r="A52" s="9" t="n">
        <v>46</v>
      </c>
      <c r="B52" s="41" t="n">
        <f aca="false">SUM(SoLieuTho!$C$9:C54)/SUM(SoLieuTho!$B$9:B54)</f>
        <v>0.573913043478261</v>
      </c>
      <c r="C52" s="41" t="n">
        <f aca="false">SUM(SoLieuTho!$F$9:F54)/SUM(SoLieuTho!$B$9:B54)</f>
        <v>4.08478260869565</v>
      </c>
      <c r="D52" s="41" t="n">
        <f aca="false">SUM(SoLieuTho!$I$9:I54)/SUM(SoLieuTho!$B$9:B54)</f>
        <v>11.2652173913043</v>
      </c>
    </row>
    <row r="53" customFormat="false" ht="15" hidden="false" customHeight="false" outlineLevel="0" collapsed="false">
      <c r="A53" s="9" t="n">
        <v>47</v>
      </c>
      <c r="B53" s="41" t="n">
        <f aca="false">SUM(SoLieuTho!$C$9:C55)/SUM(SoLieuTho!$B$9:B55)</f>
        <v>0.572340425531915</v>
      </c>
      <c r="C53" s="41" t="n">
        <f aca="false">SUM(SoLieuTho!$F$9:F55)/SUM(SoLieuTho!$B$9:B55)</f>
        <v>4.07659574468085</v>
      </c>
      <c r="D53" s="41" t="n">
        <f aca="false">SUM(SoLieuTho!$I$9:I55)/SUM(SoLieuTho!$B$9:B55)</f>
        <v>11.2744680851064</v>
      </c>
    </row>
    <row r="54" customFormat="false" ht="15" hidden="false" customHeight="false" outlineLevel="0" collapsed="false">
      <c r="A54" s="9" t="n">
        <v>48</v>
      </c>
      <c r="B54" s="41" t="n">
        <f aca="false">SUM(SoLieuTho!$C$9:C56)/SUM(SoLieuTho!$B$9:B56)</f>
        <v>0.572916666666667</v>
      </c>
      <c r="C54" s="41" t="n">
        <f aca="false">SUM(SoLieuTho!$F$9:F56)/SUM(SoLieuTho!$B$9:B56)</f>
        <v>4.0875</v>
      </c>
      <c r="D54" s="41" t="n">
        <f aca="false">SUM(SoLieuTho!$I$9:I56)/SUM(SoLieuTho!$B$9:B56)</f>
        <v>11.3</v>
      </c>
    </row>
    <row r="55" customFormat="false" ht="15" hidden="false" customHeight="false" outlineLevel="0" collapsed="false">
      <c r="A55" s="9" t="n">
        <v>49</v>
      </c>
      <c r="B55" s="41" t="n">
        <f aca="false">SUM(SoLieuTho!$C$9:C57)/SUM(SoLieuTho!$B$9:B57)</f>
        <v>0.571428571428571</v>
      </c>
      <c r="C55" s="41" t="n">
        <f aca="false">SUM(SoLieuTho!$F$9:F57)/SUM(SoLieuTho!$B$9:B57)</f>
        <v>4.08979591836735</v>
      </c>
      <c r="D55" s="41" t="n">
        <f aca="false">SUM(SoLieuTho!$I$9:I57)/SUM(SoLieuTho!$B$9:B57)</f>
        <v>11.3</v>
      </c>
    </row>
    <row r="56" customFormat="false" ht="15" hidden="false" customHeight="false" outlineLevel="0" collapsed="false">
      <c r="A56" s="9" t="n">
        <v>50</v>
      </c>
      <c r="B56" s="41" t="n">
        <f aca="false">SUM(SoLieuTho!$C$9:C58)/SUM(SoLieuTho!$B$9:B58)</f>
        <v>0.566</v>
      </c>
      <c r="C56" s="41" t="n">
        <f aca="false">SUM(SoLieuTho!$F$9:F58)/SUM(SoLieuTho!$B$9:B58)</f>
        <v>4.092</v>
      </c>
      <c r="D56" s="41" t="n">
        <f aca="false">SUM(SoLieuTho!$I$9:I58)/SUM(SoLieuTho!$B$9:B58)</f>
        <v>11.27</v>
      </c>
    </row>
    <row r="57" customFormat="false" ht="15" hidden="false" customHeight="false" outlineLevel="0" collapsed="false">
      <c r="A57" s="9" t="n">
        <v>51</v>
      </c>
      <c r="B57" s="41" t="n">
        <f aca="false">SUM(SoLieuTho!$C$9:C59)/SUM(SoLieuTho!$B$9:B59)</f>
        <v>0.568627450980392</v>
      </c>
      <c r="C57" s="41" t="n">
        <f aca="false">SUM(SoLieuTho!$F$9:F59)/SUM(SoLieuTho!$B$9:B59)</f>
        <v>4.07647058823529</v>
      </c>
      <c r="D57" s="41" t="n">
        <f aca="false">SUM(SoLieuTho!$I$9:I59)/SUM(SoLieuTho!$B$9:B59)</f>
        <v>11.2588235294118</v>
      </c>
    </row>
    <row r="58" customFormat="false" ht="15" hidden="false" customHeight="false" outlineLevel="0" collapsed="false">
      <c r="A58" s="9" t="n">
        <v>52</v>
      </c>
      <c r="B58" s="41" t="n">
        <f aca="false">SUM(SoLieuTho!$C$9:C60)/SUM(SoLieuTho!$B$9:B60)</f>
        <v>0.565384615384615</v>
      </c>
      <c r="C58" s="41" t="n">
        <f aca="false">SUM(SoLieuTho!$F$9:F60)/SUM(SoLieuTho!$B$9:B60)</f>
        <v>4.08846153846154</v>
      </c>
      <c r="D58" s="41" t="n">
        <f aca="false">SUM(SoLieuTho!$I$9:I60)/SUM(SoLieuTho!$B$9:B60)</f>
        <v>11.2653846153846</v>
      </c>
    </row>
    <row r="59" customFormat="false" ht="15" hidden="false" customHeight="false" outlineLevel="0" collapsed="false">
      <c r="A59" s="9" t="n">
        <v>53</v>
      </c>
      <c r="B59" s="41" t="n">
        <f aca="false">SUM(SoLieuTho!$C$9:C61)/SUM(SoLieuTho!$B$9:B61)</f>
        <v>0.560377358490566</v>
      </c>
      <c r="C59" s="41" t="n">
        <f aca="false">SUM(SoLieuTho!$F$9:F61)/SUM(SoLieuTho!$B$9:B61)</f>
        <v>4.08490566037736</v>
      </c>
      <c r="D59" s="41" t="n">
        <f aca="false">SUM(SoLieuTho!$I$9:I61)/SUM(SoLieuTho!$B$9:B61)</f>
        <v>11.2867924528302</v>
      </c>
    </row>
    <row r="60" customFormat="false" ht="15" hidden="false" customHeight="false" outlineLevel="0" collapsed="false">
      <c r="A60" s="9" t="n">
        <v>54</v>
      </c>
      <c r="B60" s="41" t="n">
        <f aca="false">SUM(SoLieuTho!$C$9:C62)/SUM(SoLieuTho!$B$9:B62)</f>
        <v>0.553703703703704</v>
      </c>
      <c r="C60" s="41" t="n">
        <f aca="false">SUM(SoLieuTho!$F$9:F62)/SUM(SoLieuTho!$B$9:B62)</f>
        <v>4.07962962962963</v>
      </c>
      <c r="D60" s="41" t="n">
        <f aca="false">SUM(SoLieuTho!$I$9:I62)/SUM(SoLieuTho!$B$9:B62)</f>
        <v>11.3166666666667</v>
      </c>
    </row>
    <row r="61" customFormat="false" ht="15" hidden="false" customHeight="false" outlineLevel="0" collapsed="false">
      <c r="A61" s="9" t="n">
        <v>55</v>
      </c>
      <c r="B61" s="41" t="n">
        <f aca="false">SUM(SoLieuTho!$C$9:C63)/SUM(SoLieuTho!$B$9:B63)</f>
        <v>0.549090909090909</v>
      </c>
      <c r="C61" s="41" t="n">
        <f aca="false">SUM(SoLieuTho!$F$9:F63)/SUM(SoLieuTho!$B$9:B63)</f>
        <v>4.09818181818182</v>
      </c>
      <c r="D61" s="41" t="n">
        <f aca="false">SUM(SoLieuTho!$I$9:I63)/SUM(SoLieuTho!$B$9:B63)</f>
        <v>11.3381818181818</v>
      </c>
    </row>
    <row r="62" customFormat="false" ht="15" hidden="false" customHeight="false" outlineLevel="0" collapsed="false">
      <c r="A62" s="9" t="n">
        <v>56</v>
      </c>
      <c r="B62" s="41" t="n">
        <f aca="false">SUM(SoLieuTho!$C$9:C64)/SUM(SoLieuTho!$B$9:B64)</f>
        <v>0.544642857142857</v>
      </c>
      <c r="C62" s="41" t="n">
        <f aca="false">SUM(SoLieuTho!$F$9:F64)/SUM(SoLieuTho!$B$9:B64)</f>
        <v>4.09464285714286</v>
      </c>
      <c r="D62" s="41" t="n">
        <f aca="false">SUM(SoLieuTho!$I$9:I64)/SUM(SoLieuTho!$B$9:B64)</f>
        <v>11.3303571428571</v>
      </c>
    </row>
    <row r="63" customFormat="false" ht="15" hidden="false" customHeight="false" outlineLevel="0" collapsed="false">
      <c r="A63" s="9" t="n">
        <v>57</v>
      </c>
      <c r="B63" s="41" t="n">
        <f aca="false">SUM(SoLieuTho!$C$9:C65)/SUM(SoLieuTho!$B$9:B65)</f>
        <v>0.545614035087719</v>
      </c>
      <c r="C63" s="41" t="n">
        <f aca="false">SUM(SoLieuTho!$F$9:F65)/SUM(SoLieuTho!$B$9:B65)</f>
        <v>4.07894736842105</v>
      </c>
      <c r="D63" s="41" t="n">
        <f aca="false">SUM(SoLieuTho!$I$9:I65)/SUM(SoLieuTho!$B$9:B65)</f>
        <v>11.2824561403509</v>
      </c>
    </row>
    <row r="64" customFormat="false" ht="15" hidden="false" customHeight="false" outlineLevel="0" collapsed="false">
      <c r="A64" s="9" t="n">
        <v>58</v>
      </c>
      <c r="B64" s="41" t="n">
        <f aca="false">SUM(SoLieuTho!$C$9:C66)/SUM(SoLieuTho!$B$9:B66)</f>
        <v>0.546551724137931</v>
      </c>
      <c r="C64" s="41" t="n">
        <f aca="false">SUM(SoLieuTho!$F$9:F66)/SUM(SoLieuTho!$B$9:B66)</f>
        <v>4.06379310344828</v>
      </c>
      <c r="D64" s="41" t="n">
        <f aca="false">SUM(SoLieuTho!$I$9:I66)/SUM(SoLieuTho!$B$9:B66)</f>
        <v>11.2275862068966</v>
      </c>
    </row>
    <row r="65" customFormat="false" ht="15" hidden="false" customHeight="false" outlineLevel="0" collapsed="false">
      <c r="A65" s="9" t="n">
        <v>59</v>
      </c>
      <c r="B65" s="41" t="n">
        <f aca="false">SUM(SoLieuTho!$C$9:C67)/SUM(SoLieuTho!$B$9:B67)</f>
        <v>0.540677966101695</v>
      </c>
      <c r="C65" s="41" t="n">
        <f aca="false">SUM(SoLieuTho!$F$9:F67)/SUM(SoLieuTho!$B$9:B67)</f>
        <v>4.0728813559322</v>
      </c>
      <c r="D65" s="41" t="n">
        <f aca="false">SUM(SoLieuTho!$I$9:I67)/SUM(SoLieuTho!$B$9:B67)</f>
        <v>11.2084745762712</v>
      </c>
    </row>
    <row r="66" customFormat="false" ht="15" hidden="false" customHeight="false" outlineLevel="0" collapsed="false">
      <c r="A66" s="9" t="n">
        <v>60</v>
      </c>
      <c r="B66" s="41" t="n">
        <f aca="false">SUM(SoLieuTho!$C$9:C68)/SUM(SoLieuTho!$B$9:B68)</f>
        <v>0.541666666666667</v>
      </c>
      <c r="C66" s="41" t="n">
        <f aca="false">SUM(SoLieuTho!$F$9:F68)/SUM(SoLieuTho!$B$9:B68)</f>
        <v>4.09166666666667</v>
      </c>
      <c r="D66" s="41" t="n">
        <f aca="false">SUM(SoLieuTho!$I$9:I68)/SUM(SoLieuTho!$B$9:B68)</f>
        <v>11.2116666666667</v>
      </c>
    </row>
    <row r="67" customFormat="false" ht="15" hidden="false" customHeight="false" outlineLevel="0" collapsed="false">
      <c r="A67" s="9" t="n">
        <v>61</v>
      </c>
      <c r="B67" s="41" t="n">
        <f aca="false">SUM(SoLieuTho!$C$9:C69)/SUM(SoLieuTho!$B$9:B69)</f>
        <v>0.539344262295082</v>
      </c>
      <c r="C67" s="41" t="n">
        <f aca="false">SUM(SoLieuTho!$F$9:F69)/SUM(SoLieuTho!$B$9:B69)</f>
        <v>4.08360655737705</v>
      </c>
      <c r="D67" s="41" t="n">
        <f aca="false">SUM(SoLieuTho!$I$9:I69)/SUM(SoLieuTho!$B$9:B69)</f>
        <v>11.2327868852459</v>
      </c>
    </row>
    <row r="68" customFormat="false" ht="15" hidden="false" customHeight="false" outlineLevel="0" collapsed="false">
      <c r="A68" s="9" t="n">
        <v>62</v>
      </c>
      <c r="B68" s="41" t="n">
        <f aca="false">SUM(SoLieuTho!$C$9:C70)/SUM(SoLieuTho!$B$9:B70)</f>
        <v>0.538709677419355</v>
      </c>
      <c r="C68" s="41" t="n">
        <f aca="false">SUM(SoLieuTho!$F$9:F70)/SUM(SoLieuTho!$B$9:B70)</f>
        <v>4.08064516129032</v>
      </c>
      <c r="D68" s="41" t="n">
        <f aca="false">SUM(SoLieuTho!$I$9:I70)/SUM(SoLieuTho!$B$9:B70)</f>
        <v>11.2564516129032</v>
      </c>
    </row>
    <row r="69" customFormat="false" ht="15" hidden="false" customHeight="false" outlineLevel="0" collapsed="false">
      <c r="A69" s="9" t="n">
        <v>63</v>
      </c>
      <c r="B69" s="41" t="n">
        <f aca="false">SUM(SoLieuTho!$C$9:C71)/SUM(SoLieuTho!$B$9:B71)</f>
        <v>0.53968253968254</v>
      </c>
      <c r="C69" s="41" t="n">
        <f aca="false">SUM(SoLieuTho!$F$9:F71)/SUM(SoLieuTho!$B$9:B71)</f>
        <v>4.07936507936508</v>
      </c>
      <c r="D69" s="41" t="n">
        <f aca="false">SUM(SoLieuTho!$I$9:I71)/SUM(SoLieuTho!$B$9:B71)</f>
        <v>11.2650793650794</v>
      </c>
    </row>
    <row r="70" customFormat="false" ht="15" hidden="false" customHeight="false" outlineLevel="0" collapsed="false">
      <c r="A70" s="9" t="n">
        <v>64</v>
      </c>
      <c r="B70" s="41" t="n">
        <f aca="false">SUM(SoLieuTho!$C$9:C72)/SUM(SoLieuTho!$B$9:B72)</f>
        <v>0.5375</v>
      </c>
      <c r="C70" s="41" t="n">
        <f aca="false">SUM(SoLieuTho!$F$9:F72)/SUM(SoLieuTho!$B$9:B72)</f>
        <v>4.10625</v>
      </c>
      <c r="D70" s="41" t="n">
        <f aca="false">SUM(SoLieuTho!$I$9:I72)/SUM(SoLieuTho!$B$9:B72)</f>
        <v>11.265625</v>
      </c>
    </row>
    <row r="71" customFormat="false" ht="15" hidden="false" customHeight="false" outlineLevel="0" collapsed="false">
      <c r="A71" s="9" t="n">
        <v>65</v>
      </c>
      <c r="B71" s="41" t="n">
        <f aca="false">SUM(SoLieuTho!$C$9:C73)/SUM(SoLieuTho!$B$9:B73)</f>
        <v>0.543076923076923</v>
      </c>
      <c r="C71" s="41" t="n">
        <f aca="false">SUM(SoLieuTho!$F$9:F73)/SUM(SoLieuTho!$B$9:B73)</f>
        <v>4.10615384615385</v>
      </c>
      <c r="D71" s="41" t="n">
        <f aca="false">SUM(SoLieuTho!$I$9:I73)/SUM(SoLieuTho!$B$9:B73)</f>
        <v>11.2476923076923</v>
      </c>
    </row>
    <row r="72" customFormat="false" ht="15" hidden="false" customHeight="false" outlineLevel="0" collapsed="false">
      <c r="A72" s="9" t="n">
        <v>66</v>
      </c>
      <c r="B72" s="41" t="n">
        <f aca="false">SUM(SoLieuTho!$C$9:C74)/SUM(SoLieuTho!$B$9:B74)</f>
        <v>0.542424242424243</v>
      </c>
      <c r="C72" s="41" t="n">
        <f aca="false">SUM(SoLieuTho!$F$9:F74)/SUM(SoLieuTho!$B$9:B74)</f>
        <v>4.11515151515152</v>
      </c>
      <c r="D72" s="41" t="n">
        <f aca="false">SUM(SoLieuTho!$I$9:I74)/SUM(SoLieuTho!$B$9:B74)</f>
        <v>11.2348484848485</v>
      </c>
    </row>
    <row r="73" customFormat="false" ht="15" hidden="false" customHeight="false" outlineLevel="0" collapsed="false">
      <c r="A73" s="9" t="n">
        <v>67</v>
      </c>
      <c r="B73" s="41" t="n">
        <f aca="false">SUM(SoLieuTho!$C$9:C75)/SUM(SoLieuTho!$B$9:B75)</f>
        <v>0.552238805970149</v>
      </c>
      <c r="C73" s="41" t="n">
        <f aca="false">SUM(SoLieuTho!$F$9:F75)/SUM(SoLieuTho!$B$9:B75)</f>
        <v>4.12388059701493</v>
      </c>
      <c r="D73" s="41" t="n">
        <f aca="false">SUM(SoLieuTho!$I$9:I75)/SUM(SoLieuTho!$B$9:B75)</f>
        <v>11.2283582089552</v>
      </c>
    </row>
    <row r="74" customFormat="false" ht="15" hidden="false" customHeight="false" outlineLevel="0" collapsed="false">
      <c r="A74" s="9" t="n">
        <v>68</v>
      </c>
      <c r="B74" s="41" t="n">
        <f aca="false">SUM(SoLieuTho!$C$9:C76)/SUM(SoLieuTho!$B$9:B76)</f>
        <v>0.547058823529412</v>
      </c>
      <c r="C74" s="41" t="n">
        <f aca="false">SUM(SoLieuTho!$F$9:F76)/SUM(SoLieuTho!$B$9:B76)</f>
        <v>4.10882352941176</v>
      </c>
      <c r="D74" s="41" t="n">
        <f aca="false">SUM(SoLieuTho!$I$9:I76)/SUM(SoLieuTho!$B$9:B76)</f>
        <v>11.2397058823529</v>
      </c>
    </row>
    <row r="75" customFormat="false" ht="15" hidden="false" customHeight="false" outlineLevel="0" collapsed="false">
      <c r="A75" s="9" t="n">
        <v>69</v>
      </c>
      <c r="B75" s="41" t="n">
        <f aca="false">SUM(SoLieuTho!$C$9:C77)/SUM(SoLieuTho!$B$9:B77)</f>
        <v>0.544927536231884</v>
      </c>
      <c r="C75" s="41" t="n">
        <f aca="false">SUM(SoLieuTho!$F$9:F77)/SUM(SoLieuTho!$B$9:B77)</f>
        <v>4.09710144927536</v>
      </c>
      <c r="D75" s="41" t="n">
        <f aca="false">SUM(SoLieuTho!$I$9:I77)/SUM(SoLieuTho!$B$9:B77)</f>
        <v>11.2376811594203</v>
      </c>
    </row>
    <row r="76" customFormat="false" ht="15" hidden="false" customHeight="false" outlineLevel="0" collapsed="false">
      <c r="A76" s="9" t="n">
        <v>70</v>
      </c>
      <c r="B76" s="41" t="n">
        <f aca="false">SUM(SoLieuTho!$C$9:C78)/SUM(SoLieuTho!$B$9:B78)</f>
        <v>0.545714285714286</v>
      </c>
      <c r="C76" s="41" t="n">
        <f aca="false">SUM(SoLieuTho!$F$9:F78)/SUM(SoLieuTho!$B$9:B78)</f>
        <v>4.1</v>
      </c>
      <c r="D76" s="41" t="n">
        <f aca="false">SUM(SoLieuTho!$I$9:I78)/SUM(SoLieuTho!$B$9:B78)</f>
        <v>11.2042857142857</v>
      </c>
    </row>
    <row r="77" customFormat="false" ht="15" hidden="false" customHeight="false" outlineLevel="0" collapsed="false">
      <c r="A77" s="9" t="n">
        <v>71</v>
      </c>
      <c r="B77" s="41" t="n">
        <f aca="false">SUM(SoLieuTho!$C$9:C79)/SUM(SoLieuTho!$B$9:B79)</f>
        <v>0.543661971830986</v>
      </c>
      <c r="C77" s="41" t="n">
        <f aca="false">SUM(SoLieuTho!$F$9:F79)/SUM(SoLieuTho!$B$9:B79)</f>
        <v>4.08169014084507</v>
      </c>
      <c r="D77" s="41" t="n">
        <f aca="false">SUM(SoLieuTho!$I$9:I79)/SUM(SoLieuTho!$B$9:B79)</f>
        <v>11.1788732394366</v>
      </c>
    </row>
    <row r="78" customFormat="false" ht="15" hidden="false" customHeight="false" outlineLevel="0" collapsed="false">
      <c r="A78" s="9" t="n">
        <v>72</v>
      </c>
      <c r="B78" s="41" t="n">
        <f aca="false">SUM(SoLieuTho!$C$9:C80)/SUM(SoLieuTho!$B$9:B80)</f>
        <v>0.538888888888889</v>
      </c>
      <c r="C78" s="41" t="n">
        <f aca="false">SUM(SoLieuTho!$F$9:F80)/SUM(SoLieuTho!$B$9:B80)</f>
        <v>4.06527777777778</v>
      </c>
      <c r="D78" s="41" t="n">
        <f aca="false">SUM(SoLieuTho!$I$9:I80)/SUM(SoLieuTho!$B$9:B80)</f>
        <v>11.2013888888889</v>
      </c>
    </row>
    <row r="79" customFormat="false" ht="15" hidden="false" customHeight="false" outlineLevel="0" collapsed="false">
      <c r="A79" s="9" t="n">
        <v>73</v>
      </c>
      <c r="B79" s="41" t="n">
        <f aca="false">SUM(SoLieuTho!$C$9:C81)/SUM(SoLieuTho!$B$9:B81)</f>
        <v>0.541095890410959</v>
      </c>
      <c r="C79" s="41" t="n">
        <f aca="false">SUM(SoLieuTho!$F$9:F81)/SUM(SoLieuTho!$B$9:B81)</f>
        <v>4.06164383561644</v>
      </c>
      <c r="D79" s="41" t="n">
        <f aca="false">SUM(SoLieuTho!$I$9:I81)/SUM(SoLieuTho!$B$9:B81)</f>
        <v>11.213698630137</v>
      </c>
    </row>
    <row r="80" customFormat="false" ht="15" hidden="false" customHeight="false" outlineLevel="0" collapsed="false">
      <c r="A80" s="9" t="n">
        <v>74</v>
      </c>
      <c r="B80" s="41" t="n">
        <f aca="false">SUM(SoLieuTho!$C$9:C82)/SUM(SoLieuTho!$B$9:B82)</f>
        <v>0.537837837837838</v>
      </c>
      <c r="C80" s="41" t="n">
        <f aca="false">SUM(SoLieuTho!$F$9:F82)/SUM(SoLieuTho!$B$9:B82)</f>
        <v>4.06081081081081</v>
      </c>
      <c r="D80" s="41" t="n">
        <f aca="false">SUM(SoLieuTho!$I$9:I82)/SUM(SoLieuTho!$B$9:B82)</f>
        <v>11.2283783783784</v>
      </c>
    </row>
    <row r="81" customFormat="false" ht="15" hidden="false" customHeight="false" outlineLevel="0" collapsed="false">
      <c r="A81" s="9" t="n">
        <v>75</v>
      </c>
      <c r="B81" s="41" t="n">
        <f aca="false">SUM(SoLieuTho!$C$9:C83)/SUM(SoLieuTho!$B$9:B83)</f>
        <v>0.538666666666667</v>
      </c>
      <c r="C81" s="41" t="n">
        <f aca="false">SUM(SoLieuTho!$F$9:F83)/SUM(SoLieuTho!$B$9:B83)</f>
        <v>4.06266666666667</v>
      </c>
      <c r="D81" s="41" t="n">
        <f aca="false">SUM(SoLieuTho!$I$9:I83)/SUM(SoLieuTho!$B$9:B83)</f>
        <v>11.2493333333333</v>
      </c>
    </row>
    <row r="82" customFormat="false" ht="15" hidden="false" customHeight="false" outlineLevel="0" collapsed="false">
      <c r="A82" s="9" t="n">
        <v>76</v>
      </c>
      <c r="B82" s="41" t="n">
        <f aca="false">SUM(SoLieuTho!$C$9:C84)/SUM(SoLieuTho!$B$9:B84)</f>
        <v>0.536842105263158</v>
      </c>
      <c r="C82" s="41" t="n">
        <f aca="false">SUM(SoLieuTho!$F$9:F84)/SUM(SoLieuTho!$B$9:B84)</f>
        <v>4.05789473684211</v>
      </c>
      <c r="D82" s="41" t="n">
        <f aca="false">SUM(SoLieuTho!$I$9:I84)/SUM(SoLieuTho!$B$9:B84)</f>
        <v>11.2473684210526</v>
      </c>
    </row>
    <row r="83" customFormat="false" ht="15" hidden="false" customHeight="false" outlineLevel="0" collapsed="false">
      <c r="A83" s="9" t="n">
        <v>77</v>
      </c>
      <c r="B83" s="41" t="n">
        <f aca="false">SUM(SoLieuTho!$C$9:C85)/SUM(SoLieuTho!$B$9:B85)</f>
        <v>0.545454545454545</v>
      </c>
      <c r="C83" s="41" t="n">
        <f aca="false">SUM(SoLieuTho!$F$9:F85)/SUM(SoLieuTho!$B$9:B85)</f>
        <v>4.06883116883117</v>
      </c>
      <c r="D83" s="41" t="n">
        <f aca="false">SUM(SoLieuTho!$I$9:I85)/SUM(SoLieuTho!$B$9:B85)</f>
        <v>11.2818181818182</v>
      </c>
    </row>
    <row r="84" customFormat="false" ht="15" hidden="false" customHeight="false" outlineLevel="0" collapsed="false">
      <c r="A84" s="9" t="n">
        <v>78</v>
      </c>
      <c r="B84" s="41" t="n">
        <f aca="false">SUM(SoLieuTho!$C$9:C86)/SUM(SoLieuTho!$B$9:B86)</f>
        <v>0.55</v>
      </c>
      <c r="C84" s="41" t="n">
        <f aca="false">SUM(SoLieuTho!$F$9:F86)/SUM(SoLieuTho!$B$9:B86)</f>
        <v>4.05897435897436</v>
      </c>
      <c r="D84" s="41" t="n">
        <f aca="false">SUM(SoLieuTho!$I$9:I86)/SUM(SoLieuTho!$B$9:B86)</f>
        <v>11.3025641025641</v>
      </c>
    </row>
    <row r="85" customFormat="false" ht="15" hidden="false" customHeight="false" outlineLevel="0" collapsed="false">
      <c r="A85" s="9" t="n">
        <v>79</v>
      </c>
      <c r="B85" s="41" t="n">
        <f aca="false">SUM(SoLieuTho!$C$9:C87)/SUM(SoLieuTho!$B$9:B87)</f>
        <v>0.551898734177215</v>
      </c>
      <c r="C85" s="41" t="n">
        <f aca="false">SUM(SoLieuTho!$F$9:F87)/SUM(SoLieuTho!$B$9:B87)</f>
        <v>4.05063291139241</v>
      </c>
      <c r="D85" s="41" t="n">
        <f aca="false">SUM(SoLieuTho!$I$9:I87)/SUM(SoLieuTho!$B$9:B87)</f>
        <v>11.3063291139241</v>
      </c>
    </row>
    <row r="86" customFormat="false" ht="15" hidden="false" customHeight="false" outlineLevel="0" collapsed="false">
      <c r="A86" s="9" t="n">
        <v>80</v>
      </c>
      <c r="B86" s="41" t="n">
        <f aca="false">SUM(SoLieuTho!$C$9:C88)/SUM(SoLieuTho!$B$9:B88)</f>
        <v>0.5575</v>
      </c>
      <c r="C86" s="41" t="n">
        <f aca="false">SUM(SoLieuTho!$F$9:F88)/SUM(SoLieuTho!$B$9:B88)</f>
        <v>4.0625</v>
      </c>
      <c r="D86" s="41" t="n">
        <f aca="false">SUM(SoLieuTho!$I$9:I88)/SUM(SoLieuTho!$B$9:B88)</f>
        <v>11.305</v>
      </c>
    </row>
    <row r="87" customFormat="false" ht="15" hidden="false" customHeight="false" outlineLevel="0" collapsed="false">
      <c r="A87" s="9" t="n">
        <v>81</v>
      </c>
      <c r="B87" s="41" t="n">
        <f aca="false">SUM(SoLieuTho!$C$9:C89)/SUM(SoLieuTho!$B$9:B89)</f>
        <v>0.55679012345679</v>
      </c>
      <c r="C87" s="41" t="n">
        <f aca="false">SUM(SoLieuTho!$F$9:F89)/SUM(SoLieuTho!$B$9:B89)</f>
        <v>4.05679012345679</v>
      </c>
      <c r="D87" s="41" t="n">
        <f aca="false">SUM(SoLieuTho!$I$9:I89)/SUM(SoLieuTho!$B$9:B89)</f>
        <v>11.3148148148148</v>
      </c>
    </row>
    <row r="88" customFormat="false" ht="15" hidden="false" customHeight="false" outlineLevel="0" collapsed="false">
      <c r="A88" s="9" t="n">
        <v>82</v>
      </c>
      <c r="B88" s="41" t="n">
        <f aca="false">SUM(SoLieuTho!$C$9:C90)/SUM(SoLieuTho!$B$9:B90)</f>
        <v>0.558536585365854</v>
      </c>
      <c r="C88" s="41" t="n">
        <f aca="false">SUM(SoLieuTho!$F$9:F90)/SUM(SoLieuTho!$B$9:B90)</f>
        <v>4.06341463414634</v>
      </c>
      <c r="D88" s="41" t="n">
        <f aca="false">SUM(SoLieuTho!$I$9:I90)/SUM(SoLieuTho!$B$9:B90)</f>
        <v>11.2914634146341</v>
      </c>
    </row>
    <row r="89" customFormat="false" ht="15" hidden="false" customHeight="false" outlineLevel="0" collapsed="false">
      <c r="A89" s="9" t="n">
        <v>83</v>
      </c>
      <c r="B89" s="41" t="n">
        <f aca="false">SUM(SoLieuTho!$C$9:C91)/SUM(SoLieuTho!$B$9:B91)</f>
        <v>0.557831325301205</v>
      </c>
      <c r="C89" s="41" t="n">
        <f aca="false">SUM(SoLieuTho!$F$9:F91)/SUM(SoLieuTho!$B$9:B91)</f>
        <v>4.05421686746988</v>
      </c>
      <c r="D89" s="41" t="n">
        <f aca="false">SUM(SoLieuTho!$I$9:I91)/SUM(SoLieuTho!$B$9:B91)</f>
        <v>11.2855421686747</v>
      </c>
    </row>
    <row r="90" customFormat="false" ht="15" hidden="false" customHeight="false" outlineLevel="0" collapsed="false">
      <c r="A90" s="9" t="n">
        <v>84</v>
      </c>
      <c r="B90" s="41" t="n">
        <f aca="false">SUM(SoLieuTho!$C$9:C92)/SUM(SoLieuTho!$B$9:B92)</f>
        <v>0.55952380952381</v>
      </c>
      <c r="C90" s="41" t="n">
        <f aca="false">SUM(SoLieuTho!$F$9:F92)/SUM(SoLieuTho!$B$9:B92)</f>
        <v>4.04642857142857</v>
      </c>
      <c r="D90" s="41" t="n">
        <f aca="false">SUM(SoLieuTho!$I$9:I92)/SUM(SoLieuTho!$B$9:B92)</f>
        <v>11.2833333333333</v>
      </c>
    </row>
    <row r="91" customFormat="false" ht="15" hidden="false" customHeight="false" outlineLevel="0" collapsed="false">
      <c r="A91" s="9" t="n">
        <v>85</v>
      </c>
      <c r="B91" s="41" t="n">
        <f aca="false">SUM(SoLieuTho!$C$9:C93)/SUM(SoLieuTho!$B$9:B93)</f>
        <v>0.558823529411765</v>
      </c>
      <c r="C91" s="41" t="n">
        <f aca="false">SUM(SoLieuTho!$F$9:F93)/SUM(SoLieuTho!$B$9:B93)</f>
        <v>4.05176470588235</v>
      </c>
      <c r="D91" s="41" t="n">
        <f aca="false">SUM(SoLieuTho!$I$9:I93)/SUM(SoLieuTho!$B$9:B93)</f>
        <v>11.2705882352941</v>
      </c>
    </row>
    <row r="92" customFormat="false" ht="15" hidden="false" customHeight="false" outlineLevel="0" collapsed="false">
      <c r="A92" s="9" t="n">
        <v>86</v>
      </c>
      <c r="B92" s="41" t="n">
        <f aca="false">SUM(SoLieuTho!$C$9:C94)/SUM(SoLieuTho!$B$9:B94)</f>
        <v>0.56046511627907</v>
      </c>
      <c r="C92" s="41" t="n">
        <f aca="false">SUM(SoLieuTho!$F$9:F94)/SUM(SoLieuTho!$B$9:B94)</f>
        <v>4.06395348837209</v>
      </c>
      <c r="D92" s="41" t="n">
        <f aca="false">SUM(SoLieuTho!$I$9:I94)/SUM(SoLieuTho!$B$9:B94)</f>
        <v>11.2790697674419</v>
      </c>
    </row>
    <row r="93" customFormat="false" ht="15" hidden="false" customHeight="false" outlineLevel="0" collapsed="false">
      <c r="A93" s="9" t="n">
        <v>87</v>
      </c>
      <c r="B93" s="41" t="n">
        <f aca="false">SUM(SoLieuTho!$C$9:C95)/SUM(SoLieuTho!$B$9:B95)</f>
        <v>0.558620689655172</v>
      </c>
      <c r="C93" s="41" t="n">
        <f aca="false">SUM(SoLieuTho!$F$9:F95)/SUM(SoLieuTho!$B$9:B95)</f>
        <v>4.06091954022989</v>
      </c>
      <c r="D93" s="41" t="n">
        <f aca="false">SUM(SoLieuTho!$I$9:I95)/SUM(SoLieuTho!$B$9:B95)</f>
        <v>11.2942528735632</v>
      </c>
    </row>
    <row r="94" customFormat="false" ht="15" hidden="false" customHeight="false" outlineLevel="0" collapsed="false">
      <c r="A94" s="9" t="n">
        <v>88</v>
      </c>
      <c r="B94" s="41" t="n">
        <f aca="false">SUM(SoLieuTho!$C$9:C96)/SUM(SoLieuTho!$B$9:B96)</f>
        <v>0.555681818181818</v>
      </c>
      <c r="C94" s="41" t="n">
        <f aca="false">SUM(SoLieuTho!$F$9:F96)/SUM(SoLieuTho!$B$9:B96)</f>
        <v>4.07840909090909</v>
      </c>
      <c r="D94" s="41" t="n">
        <f aca="false">SUM(SoLieuTho!$I$9:I96)/SUM(SoLieuTho!$B$9:B96)</f>
        <v>11.2715909090909</v>
      </c>
    </row>
    <row r="95" customFormat="false" ht="15" hidden="false" customHeight="false" outlineLevel="0" collapsed="false">
      <c r="A95" s="9" t="n">
        <v>89</v>
      </c>
      <c r="B95" s="41" t="n">
        <f aca="false">SUM(SoLieuTho!$C$9:C97)/SUM(SoLieuTho!$B$9:B97)</f>
        <v>0.553932584269663</v>
      </c>
      <c r="C95" s="41" t="n">
        <f aca="false">SUM(SoLieuTho!$F$9:F97)/SUM(SoLieuTho!$B$9:B97)</f>
        <v>4.07865168539326</v>
      </c>
      <c r="D95" s="41" t="n">
        <f aca="false">SUM(SoLieuTho!$I$9:I97)/SUM(SoLieuTho!$B$9:B97)</f>
        <v>11.2539325842697</v>
      </c>
    </row>
    <row r="96" customFormat="false" ht="15" hidden="false" customHeight="false" outlineLevel="0" collapsed="false">
      <c r="A96" s="9" t="n">
        <v>90</v>
      </c>
      <c r="B96" s="41" t="n">
        <f aca="false">SUM(SoLieuTho!$C$9:C98)/SUM(SoLieuTho!$B$9:B98)</f>
        <v>0.555555555555556</v>
      </c>
      <c r="C96" s="41" t="n">
        <f aca="false">SUM(SoLieuTho!$F$9:F98)/SUM(SoLieuTho!$B$9:B98)</f>
        <v>4.08555555555556</v>
      </c>
      <c r="D96" s="41" t="n">
        <f aca="false">SUM(SoLieuTho!$I$9:I98)/SUM(SoLieuTho!$B$9:B98)</f>
        <v>11.2366666666667</v>
      </c>
    </row>
    <row r="97" customFormat="false" ht="15" hidden="false" customHeight="false" outlineLevel="0" collapsed="false">
      <c r="A97" s="9" t="n">
        <v>91</v>
      </c>
      <c r="B97" s="41" t="n">
        <f aca="false">SUM(SoLieuTho!$C$9:C99)/SUM(SoLieuTho!$B$9:B99)</f>
        <v>0.554945054945055</v>
      </c>
      <c r="C97" s="41" t="n">
        <f aca="false">SUM(SoLieuTho!$F$9:F99)/SUM(SoLieuTho!$B$9:B99)</f>
        <v>4.08351648351648</v>
      </c>
      <c r="D97" s="41" t="n">
        <f aca="false">SUM(SoLieuTho!$I$9:I99)/SUM(SoLieuTho!$B$9:B99)</f>
        <v>11.2252747252747</v>
      </c>
    </row>
    <row r="98" customFormat="false" ht="15" hidden="false" customHeight="false" outlineLevel="0" collapsed="false">
      <c r="A98" s="9" t="n">
        <v>92</v>
      </c>
      <c r="B98" s="41" t="n">
        <f aca="false">SUM(SoLieuTho!$C$9:C100)/SUM(SoLieuTho!$B$9:B100)</f>
        <v>0.558695652173913</v>
      </c>
      <c r="C98" s="41" t="n">
        <f aca="false">SUM(SoLieuTho!$F$9:F100)/SUM(SoLieuTho!$B$9:B100)</f>
        <v>4.09021739130435</v>
      </c>
      <c r="D98" s="41" t="n">
        <f aca="false">SUM(SoLieuTho!$I$9:I100)/SUM(SoLieuTho!$B$9:B100)</f>
        <v>11.225</v>
      </c>
    </row>
    <row r="99" customFormat="false" ht="15" hidden="false" customHeight="false" outlineLevel="0" collapsed="false">
      <c r="A99" s="9" t="n">
        <v>93</v>
      </c>
      <c r="B99" s="41" t="n">
        <f aca="false">SUM(SoLieuTho!$C$9:C101)/SUM(SoLieuTho!$B$9:B101)</f>
        <v>0.56236559139785</v>
      </c>
      <c r="C99" s="41" t="n">
        <f aca="false">SUM(SoLieuTho!$F$9:F101)/SUM(SoLieuTho!$B$9:B101)</f>
        <v>4.10215053763441</v>
      </c>
      <c r="D99" s="41" t="n">
        <f aca="false">SUM(SoLieuTho!$I$9:I101)/SUM(SoLieuTho!$B$9:B101)</f>
        <v>11.2365591397849</v>
      </c>
    </row>
    <row r="100" customFormat="false" ht="15" hidden="false" customHeight="false" outlineLevel="0" collapsed="false">
      <c r="A100" s="9" t="n">
        <v>94</v>
      </c>
      <c r="B100" s="41" t="n">
        <f aca="false">SUM(SoLieuTho!$C$9:C102)/SUM(SoLieuTho!$B$9:B102)</f>
        <v>0.562765957446809</v>
      </c>
      <c r="C100" s="41" t="n">
        <f aca="false">SUM(SoLieuTho!$F$9:F102)/SUM(SoLieuTho!$B$9:B102)</f>
        <v>4.1063829787234</v>
      </c>
      <c r="D100" s="41" t="n">
        <f aca="false">SUM(SoLieuTho!$I$9:I102)/SUM(SoLieuTho!$B$9:B102)</f>
        <v>11.2063829787234</v>
      </c>
    </row>
    <row r="101" customFormat="false" ht="15" hidden="false" customHeight="false" outlineLevel="0" collapsed="false">
      <c r="A101" s="9" t="n">
        <v>95</v>
      </c>
      <c r="B101" s="41" t="n">
        <f aca="false">SUM(SoLieuTho!$C$9:C103)/SUM(SoLieuTho!$B$9:B103)</f>
        <v>0.562105263157895</v>
      </c>
      <c r="C101" s="41" t="n">
        <f aca="false">SUM(SoLieuTho!$F$9:F103)/SUM(SoLieuTho!$B$9:B103)</f>
        <v>4.11684210526316</v>
      </c>
      <c r="D101" s="41" t="n">
        <f aca="false">SUM(SoLieuTho!$I$9:I103)/SUM(SoLieuTho!$B$9:B103)</f>
        <v>11.1989473684211</v>
      </c>
    </row>
    <row r="102" customFormat="false" ht="15" hidden="false" customHeight="false" outlineLevel="0" collapsed="false">
      <c r="A102" s="9" t="n">
        <v>96</v>
      </c>
      <c r="B102" s="41" t="n">
        <f aca="false">SUM(SoLieuTho!$C$9:C104)/SUM(SoLieuTho!$B$9:B104)</f>
        <v>0.5625</v>
      </c>
      <c r="C102" s="41" t="n">
        <f aca="false">SUM(SoLieuTho!$F$9:F104)/SUM(SoLieuTho!$B$9:B104)</f>
        <v>4.13020833333333</v>
      </c>
      <c r="D102" s="41" t="n">
        <f aca="false">SUM(SoLieuTho!$I$9:I104)/SUM(SoLieuTho!$B$9:B104)</f>
        <v>11.2020833333333</v>
      </c>
    </row>
    <row r="103" customFormat="false" ht="15" hidden="false" customHeight="false" outlineLevel="0" collapsed="false">
      <c r="A103" s="9" t="n">
        <v>97</v>
      </c>
      <c r="B103" s="41" t="n">
        <f aca="false">SUM(SoLieuTho!$C$9:C105)/SUM(SoLieuTho!$B$9:B105)</f>
        <v>0.558762886597938</v>
      </c>
      <c r="C103" s="41" t="n">
        <f aca="false">SUM(SoLieuTho!$F$9:F105)/SUM(SoLieuTho!$B$9:B105)</f>
        <v>4.13814432989691</v>
      </c>
      <c r="D103" s="41" t="n">
        <f aca="false">SUM(SoLieuTho!$I$9:I105)/SUM(SoLieuTho!$B$9:B105)</f>
        <v>11.2030927835052</v>
      </c>
    </row>
    <row r="104" customFormat="false" ht="15" hidden="false" customHeight="false" outlineLevel="0" collapsed="false">
      <c r="A104" s="9" t="n">
        <v>98</v>
      </c>
      <c r="B104" s="41" t="n">
        <f aca="false">SUM(SoLieuTho!$C$9:C106)/SUM(SoLieuTho!$B$9:B106)</f>
        <v>0.554081632653061</v>
      </c>
      <c r="C104" s="41" t="n">
        <f aca="false">SUM(SoLieuTho!$F$9:F106)/SUM(SoLieuTho!$B$9:B106)</f>
        <v>4.13571428571429</v>
      </c>
      <c r="D104" s="41" t="n">
        <f aca="false">SUM(SoLieuTho!$I$9:I106)/SUM(SoLieuTho!$B$9:B106)</f>
        <v>11.2081632653061</v>
      </c>
    </row>
    <row r="105" customFormat="false" ht="15" hidden="false" customHeight="false" outlineLevel="0" collapsed="false">
      <c r="A105" s="9" t="n">
        <v>99</v>
      </c>
      <c r="B105" s="41" t="n">
        <f aca="false">SUM(SoLieuTho!$C$9:C107)/SUM(SoLieuTho!$B$9:B107)</f>
        <v>0.554545454545455</v>
      </c>
      <c r="C105" s="41" t="n">
        <f aca="false">SUM(SoLieuTho!$F$9:F107)/SUM(SoLieuTho!$B$9:B107)</f>
        <v>4.12828282828283</v>
      </c>
      <c r="D105" s="41" t="n">
        <f aca="false">SUM(SoLieuTho!$I$9:I107)/SUM(SoLieuTho!$B$9:B107)</f>
        <v>11.2080808080808</v>
      </c>
    </row>
    <row r="106" customFormat="false" ht="15" hidden="false" customHeight="false" outlineLevel="0" collapsed="false">
      <c r="A106" s="9" t="n">
        <v>100</v>
      </c>
      <c r="B106" s="41" t="n">
        <f aca="false">SUM(SoLieuTho!$C$9:C108)/SUM(SoLieuTho!$B$9:B108)</f>
        <v>0.552</v>
      </c>
      <c r="C106" s="41" t="n">
        <f aca="false">SUM(SoLieuTho!$F$9:F108)/SUM(SoLieuTho!$B$9:B108)</f>
        <v>4.122</v>
      </c>
      <c r="D106" s="41" t="n">
        <f aca="false">SUM(SoLieuTho!$I$9:I108)/SUM(SoLieuTho!$B$9:B108)</f>
        <v>11.219</v>
      </c>
    </row>
  </sheetData>
  <mergeCells count="4">
    <mergeCell ref="A1:E1"/>
    <mergeCell ref="A2:E2"/>
    <mergeCell ref="A3:E3"/>
    <mergeCell ref="A4:D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true" outlineLevel="0" collapsed="false">
      <c r="A4" s="39" t="s">
        <v>185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</sheetData>
  <mergeCells count="4">
    <mergeCell ref="A1:R1"/>
    <mergeCell ref="A2:R2"/>
    <mergeCell ref="A3:R3"/>
    <mergeCell ref="A4:R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5.35" hidden="false" customHeight="true" outlineLevel="0" collapsed="false">
      <c r="A4" s="16" t="s">
        <v>187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6" customFormat="false" ht="15" hidden="false" customHeight="true" outlineLevel="0" collapsed="false">
      <c r="A6" s="18" t="s">
        <v>92</v>
      </c>
      <c r="B6" s="18"/>
      <c r="C6" s="18"/>
      <c r="D6" s="18"/>
      <c r="F6" s="18" t="s">
        <v>93</v>
      </c>
      <c r="G6" s="18"/>
      <c r="H6" s="18"/>
      <c r="I6" s="18"/>
      <c r="K6" s="18" t="s">
        <v>94</v>
      </c>
      <c r="L6" s="18"/>
      <c r="M6" s="18"/>
      <c r="N6" s="18"/>
    </row>
    <row r="7" customFormat="false" ht="15" hidden="false" customHeight="true" outlineLevel="0" collapsed="false">
      <c r="A7" s="42" t="s">
        <v>188</v>
      </c>
      <c r="B7" s="42"/>
      <c r="C7" s="34" t="n">
        <f aca="false">ThongKe!C10</f>
        <v>5.52</v>
      </c>
      <c r="D7" s="34"/>
      <c r="F7" s="42" t="s">
        <v>188</v>
      </c>
      <c r="G7" s="42"/>
      <c r="H7" s="34" t="n">
        <f aca="false">ThongKe!D10</f>
        <v>41.22</v>
      </c>
      <c r="I7" s="34"/>
      <c r="K7" s="42" t="s">
        <v>188</v>
      </c>
      <c r="L7" s="42"/>
      <c r="M7" s="34" t="n">
        <f aca="false">ThongKe!E10</f>
        <v>112.19</v>
      </c>
      <c r="N7" s="34"/>
    </row>
    <row r="8" customFormat="false" ht="25.35" hidden="false" customHeight="false" outlineLevel="0" collapsed="false">
      <c r="A8" s="23" t="s">
        <v>174</v>
      </c>
      <c r="B8" s="23" t="s">
        <v>189</v>
      </c>
      <c r="C8" s="23" t="s">
        <v>177</v>
      </c>
      <c r="D8" s="23" t="s">
        <v>190</v>
      </c>
      <c r="F8" s="23" t="s">
        <v>174</v>
      </c>
      <c r="G8" s="23" t="s">
        <v>189</v>
      </c>
      <c r="H8" s="23" t="s">
        <v>177</v>
      </c>
      <c r="I8" s="23" t="s">
        <v>190</v>
      </c>
      <c r="K8" s="23" t="s">
        <v>174</v>
      </c>
      <c r="L8" s="23" t="s">
        <v>189</v>
      </c>
      <c r="M8" s="23" t="s">
        <v>177</v>
      </c>
      <c r="N8" s="23" t="s">
        <v>190</v>
      </c>
    </row>
    <row r="9" customFormat="false" ht="15" hidden="false" customHeight="false" outlineLevel="0" collapsed="false">
      <c r="A9" s="20" t="n">
        <v>0</v>
      </c>
      <c r="B9" s="20" t="n">
        <v>4</v>
      </c>
      <c r="C9" s="43" t="n">
        <f aca="false">SUM($B$9:$B$23)*POISSON(A9,$C$7,FALSE())</f>
        <v>4.00584794209042</v>
      </c>
      <c r="D9" s="21" t="n">
        <f aca="false">IF(B9&gt;0,(B9-C9)^2/B9,0)</f>
        <v>8.54960667322662E-006</v>
      </c>
      <c r="F9" s="20" t="n">
        <v>21</v>
      </c>
      <c r="G9" s="20" t="n">
        <v>1</v>
      </c>
      <c r="H9" s="43" t="n">
        <f aca="false">SUM($G$9:$G$52)*POISSON(F9,$H$7,FALSE())</f>
        <v>0.202910854905542</v>
      </c>
      <c r="I9" s="21" t="n">
        <f aca="false">IF(G9&gt;0,(G9-H9)^2/G9,0)</f>
        <v>0.635351105227414</v>
      </c>
      <c r="K9" s="20" t="n">
        <v>79</v>
      </c>
      <c r="L9" s="20" t="n">
        <v>1</v>
      </c>
      <c r="M9" s="43" t="n">
        <f aca="false">SUM($L$9:$L$74)*POISSON(K9,$M$7,FALSE())</f>
        <v>0.1867420119255</v>
      </c>
      <c r="N9" s="21" t="n">
        <f aca="false">IF(L9&gt;0,(L9-M9)^2/L9,0)</f>
        <v>0.661388555166984</v>
      </c>
    </row>
    <row r="10" customFormat="false" ht="15" hidden="false" customHeight="false" outlineLevel="0" collapsed="false">
      <c r="A10" s="20" t="n">
        <v>1</v>
      </c>
      <c r="B10" s="20" t="n">
        <v>25</v>
      </c>
      <c r="C10" s="43" t="n">
        <f aca="false">SUM($B$9:$B$23)*POISSON(A10,$C$7,FALSE())</f>
        <v>22.1122806403391</v>
      </c>
      <c r="D10" s="21" t="n">
        <f aca="false">IF(B10&gt;0,(B10-C10)^2/B10,0)</f>
        <v>0.33355692400641</v>
      </c>
      <c r="F10" s="20" t="n">
        <v>22</v>
      </c>
      <c r="G10" s="20" t="n">
        <v>0</v>
      </c>
      <c r="H10" s="43" t="n">
        <f aca="false">SUM($G$9:$G$52)*POISSON(F10,$H$7,FALSE())</f>
        <v>0.380181156327566</v>
      </c>
      <c r="I10" s="21" t="n">
        <f aca="false">IF(G10&gt;0,(G10-H10)^2/G10,0)</f>
        <v>0</v>
      </c>
      <c r="K10" s="20" t="n">
        <v>80</v>
      </c>
      <c r="L10" s="20" t="n">
        <v>0</v>
      </c>
      <c r="M10" s="43" t="n">
        <f aca="false">SUM($L$9:$L$74)*POISSON(K10,$M$7,FALSE())</f>
        <v>0.261882328974023</v>
      </c>
      <c r="N10" s="21" t="n">
        <f aca="false">IF(L10&gt;0,(L10-M10)^2/L10,0)</f>
        <v>0</v>
      </c>
    </row>
    <row r="11" customFormat="false" ht="15" hidden="false" customHeight="false" outlineLevel="0" collapsed="false">
      <c r="A11" s="20" t="n">
        <v>2</v>
      </c>
      <c r="B11" s="20" t="n">
        <v>47</v>
      </c>
      <c r="C11" s="43" t="n">
        <f aca="false">SUM($B$9:$B$23)*POISSON(A11,$C$7,FALSE())</f>
        <v>61.029894567336</v>
      </c>
      <c r="D11" s="21" t="n">
        <f aca="false">IF(B11&gt;0,(B11-C11)^2/B11,0)</f>
        <v>4.18804131001198</v>
      </c>
      <c r="F11" s="20" t="n">
        <v>23</v>
      </c>
      <c r="G11" s="20" t="n">
        <v>0</v>
      </c>
      <c r="H11" s="43" t="n">
        <f aca="false">SUM($G$9:$G$52)*POISSON(F11,$H$7,FALSE())</f>
        <v>0.681350750600967</v>
      </c>
      <c r="I11" s="21" t="n">
        <f aca="false">IF(G11&gt;0,(G11-H11)^2/G11,0)</f>
        <v>0</v>
      </c>
      <c r="K11" s="20" t="n">
        <v>81</v>
      </c>
      <c r="L11" s="20" t="n">
        <v>0</v>
      </c>
      <c r="M11" s="43" t="n">
        <f aca="false">SUM($L$9:$L$74)*POISSON(K11,$M$7,FALSE())</f>
        <v>0.362723191204884</v>
      </c>
      <c r="N11" s="21" t="n">
        <f aca="false">IF(L11&gt;0,(L11-M11)^2/L11,0)</f>
        <v>0</v>
      </c>
    </row>
    <row r="12" customFormat="false" ht="15" hidden="false" customHeight="false" outlineLevel="0" collapsed="false">
      <c r="A12" s="20" t="n">
        <v>3</v>
      </c>
      <c r="B12" s="20" t="n">
        <v>105</v>
      </c>
      <c r="C12" s="43" t="n">
        <f aca="false">SUM($B$9:$B$23)*POISSON(A12,$C$7,FALSE())</f>
        <v>112.295006003898</v>
      </c>
      <c r="D12" s="21" t="n">
        <f aca="false">IF(B12&gt;0,(B12-C12)^2/B12,0)</f>
        <v>0.506829643780098</v>
      </c>
      <c r="F12" s="20" t="n">
        <v>24</v>
      </c>
      <c r="G12" s="20" t="n">
        <v>0</v>
      </c>
      <c r="H12" s="43" t="n">
        <f aca="false">SUM($G$9:$G$52)*POISSON(F12,$H$7,FALSE())</f>
        <v>1.17021991415716</v>
      </c>
      <c r="I12" s="21" t="n">
        <f aca="false">IF(G12&gt;0,(G12-H12)^2/G12,0)</f>
        <v>0</v>
      </c>
      <c r="K12" s="20" t="n">
        <v>82</v>
      </c>
      <c r="L12" s="20" t="n">
        <v>1</v>
      </c>
      <c r="M12" s="43" t="n">
        <f aca="false">SUM($L$9:$L$74)*POISSON(K12,$M$7,FALSE())</f>
        <v>0.496267253918</v>
      </c>
      <c r="N12" s="21" t="n">
        <f aca="false">IF(L12&gt;0,(L12-M12)^2/L12,0)</f>
        <v>0.253746679475313</v>
      </c>
    </row>
    <row r="13" customFormat="false" ht="15" hidden="false" customHeight="false" outlineLevel="0" collapsed="false">
      <c r="A13" s="20" t="n">
        <v>4</v>
      </c>
      <c r="B13" s="20" t="n">
        <v>155</v>
      </c>
      <c r="C13" s="43" t="n">
        <f aca="false">SUM($B$9:$B$23)*POISSON(A13,$C$7,FALSE())</f>
        <v>154.967108285379</v>
      </c>
      <c r="D13" s="21" t="n">
        <f aca="false">IF(B13&gt;0,(B13-C13)^2/B13,0)</f>
        <v>6.97977348825486E-006</v>
      </c>
      <c r="F13" s="20" t="n">
        <v>25</v>
      </c>
      <c r="G13" s="20" t="n">
        <v>1</v>
      </c>
      <c r="H13" s="43" t="n">
        <f aca="false">SUM($G$9:$G$52)*POISSON(F13,$H$7,FALSE())</f>
        <v>1.92945859446233</v>
      </c>
      <c r="I13" s="21" t="n">
        <f aca="false">IF(G13&gt;0,(G13-H13)^2/G13,0)</f>
        <v>0.863893278819886</v>
      </c>
      <c r="K13" s="20" t="n">
        <v>83</v>
      </c>
      <c r="L13" s="20" t="n">
        <v>0</v>
      </c>
      <c r="M13" s="43" t="n">
        <f aca="false">SUM($L$9:$L$74)*POISSON(K13,$M$7,FALSE())</f>
        <v>0.670797870085065</v>
      </c>
      <c r="N13" s="21" t="n">
        <f aca="false">IF(L13&gt;0,(L13-M13)^2/L13,0)</f>
        <v>0</v>
      </c>
    </row>
    <row r="14" customFormat="false" ht="15" hidden="false" customHeight="false" outlineLevel="0" collapsed="false">
      <c r="A14" s="20" t="n">
        <v>5</v>
      </c>
      <c r="B14" s="20" t="n">
        <v>162</v>
      </c>
      <c r="C14" s="43" t="n">
        <f aca="false">SUM($B$9:$B$23)*POISSON(A14,$C$7,FALSE())</f>
        <v>171.083687547059</v>
      </c>
      <c r="D14" s="21" t="n">
        <f aca="false">IF(B14&gt;0,(B14-C14)^2/B14,0)</f>
        <v>0.509341848472796</v>
      </c>
      <c r="F14" s="20" t="n">
        <v>26</v>
      </c>
      <c r="G14" s="20" t="n">
        <v>0</v>
      </c>
      <c r="H14" s="43" t="n">
        <f aca="false">SUM($G$9:$G$52)*POISSON(F14,$H$7,FALSE())</f>
        <v>3.0589339716822</v>
      </c>
      <c r="I14" s="21" t="n">
        <f aca="false">IF(G14&gt;0,(G14-H14)^2/G14,0)</f>
        <v>0</v>
      </c>
      <c r="K14" s="20" t="n">
        <v>84</v>
      </c>
      <c r="L14" s="20" t="n">
        <v>0</v>
      </c>
      <c r="M14" s="43" t="n">
        <f aca="false">SUM($L$9:$L$74)*POISSON(K14,$M$7,FALSE())</f>
        <v>0.895914441010041</v>
      </c>
      <c r="N14" s="21" t="n">
        <f aca="false">IF(L14&gt;0,(L14-M14)^2/L14,0)</f>
        <v>0</v>
      </c>
    </row>
    <row r="15" customFormat="false" ht="15" hidden="false" customHeight="false" outlineLevel="0" collapsed="false">
      <c r="A15" s="20" t="n">
        <v>6</v>
      </c>
      <c r="B15" s="20" t="n">
        <v>159</v>
      </c>
      <c r="C15" s="43" t="n">
        <f aca="false">SUM($B$9:$B$23)*POISSON(A15,$C$7,FALSE())</f>
        <v>157.396992543294</v>
      </c>
      <c r="D15" s="21" t="n">
        <f aca="false">IF(B15&gt;0,(B15-C15)^2/B15,0)</f>
        <v>0.0161612132468835</v>
      </c>
      <c r="F15" s="20" t="n">
        <v>27</v>
      </c>
      <c r="G15" s="20" t="n">
        <v>5</v>
      </c>
      <c r="H15" s="43" t="n">
        <f aca="false">SUM($G$9:$G$52)*POISSON(F15,$H$7,FALSE())</f>
        <v>4.66997253010149</v>
      </c>
      <c r="I15" s="21" t="n">
        <f aca="false">IF(G15&gt;0,(G15-H15)^2/G15,0)</f>
        <v>0.0217836261775225</v>
      </c>
      <c r="K15" s="20" t="n">
        <v>85</v>
      </c>
      <c r="L15" s="20" t="n">
        <v>0</v>
      </c>
      <c r="M15" s="43" t="n">
        <f aca="false">SUM($L$9:$L$74)*POISSON(K15,$M$7,FALSE())</f>
        <v>1.18250166043431</v>
      </c>
      <c r="N15" s="21" t="n">
        <f aca="false">IF(L15&gt;0,(L15-M15)^2/L15,0)</f>
        <v>0</v>
      </c>
    </row>
    <row r="16" customFormat="false" ht="15" hidden="false" customHeight="false" outlineLevel="0" collapsed="false">
      <c r="A16" s="20" t="n">
        <v>7</v>
      </c>
      <c r="B16" s="20" t="n">
        <v>135</v>
      </c>
      <c r="C16" s="43" t="n">
        <f aca="false">SUM($B$9:$B$23)*POISSON(A16,$C$7,FALSE())</f>
        <v>124.118771262712</v>
      </c>
      <c r="D16" s="21" t="n">
        <f aca="false">IF(B16&gt;0,(B16-C16)^2/B16,0)</f>
        <v>0.877045472838393</v>
      </c>
      <c r="F16" s="20" t="n">
        <v>28</v>
      </c>
      <c r="G16" s="20" t="n">
        <v>7</v>
      </c>
      <c r="H16" s="43" t="n">
        <f aca="false">SUM($G$9:$G$52)*POISSON(F16,$H$7,FALSE())</f>
        <v>6.87486670324226</v>
      </c>
      <c r="I16" s="21" t="n">
        <f aca="false">IF(G16&gt;0,(G16-H16)^2/G16,0)</f>
        <v>0.00223690599392282</v>
      </c>
      <c r="K16" s="20" t="n">
        <v>86</v>
      </c>
      <c r="L16" s="20" t="n">
        <v>1</v>
      </c>
      <c r="M16" s="43" t="n">
        <f aca="false">SUM($L$9:$L$74)*POISSON(K16,$M$7,FALSE())</f>
        <v>1.54261466609448</v>
      </c>
      <c r="N16" s="21" t="n">
        <f aca="false">IF(L16&gt;0,(L16-M16)^2/L16,0)</f>
        <v>0.294430675860826</v>
      </c>
    </row>
    <row r="17" customFormat="false" ht="15" hidden="false" customHeight="false" outlineLevel="0" collapsed="false">
      <c r="A17" s="20" t="n">
        <v>8</v>
      </c>
      <c r="B17" s="20" t="n">
        <v>86</v>
      </c>
      <c r="C17" s="43" t="n">
        <f aca="false">SUM($B$9:$B$23)*POISSON(A17,$C$7,FALSE())</f>
        <v>85.6419521712713</v>
      </c>
      <c r="D17" s="21" t="n">
        <f aca="false">IF(B17&gt;0,(B17-C17)^2/B17,0)</f>
        <v>0.00149067729834148</v>
      </c>
      <c r="F17" s="20" t="n">
        <v>29</v>
      </c>
      <c r="G17" s="20" t="n">
        <v>10</v>
      </c>
      <c r="H17" s="43" t="n">
        <f aca="false">SUM($G$9:$G$52)*POISSON(F17,$H$7,FALSE())</f>
        <v>9.77179329336711</v>
      </c>
      <c r="I17" s="21" t="n">
        <f aca="false">IF(G17&gt;0,(G17-H17)^2/G17,0)</f>
        <v>0.00520783009522312</v>
      </c>
      <c r="K17" s="20" t="n">
        <v>87</v>
      </c>
      <c r="L17" s="20" t="n">
        <v>2</v>
      </c>
      <c r="M17" s="43" t="n">
        <f aca="false">SUM($L$9:$L$74)*POISSON(K17,$M$7,FALSE())</f>
        <v>1.98926367113954</v>
      </c>
      <c r="N17" s="21" t="n">
        <f aca="false">IF(L17&gt;0,(L17-M17)^2/L17,0)</f>
        <v>5.7634378699988E-005</v>
      </c>
    </row>
    <row r="18" customFormat="false" ht="15" hidden="false" customHeight="false" outlineLevel="0" collapsed="false">
      <c r="A18" s="20" t="n">
        <v>9</v>
      </c>
      <c r="B18" s="20" t="n">
        <v>55</v>
      </c>
      <c r="C18" s="43" t="n">
        <f aca="false">SUM($B$9:$B$23)*POISSON(A18,$C$7,FALSE())</f>
        <v>52.5270639983797</v>
      </c>
      <c r="D18" s="21" t="n">
        <f aca="false">IF(B18&gt;0,(B18-C18)^2/B18,0)</f>
        <v>0.111189317601997</v>
      </c>
      <c r="F18" s="20" t="n">
        <v>30</v>
      </c>
      <c r="G18" s="20" t="n">
        <v>11</v>
      </c>
      <c r="H18" s="43" t="n">
        <f aca="false">SUM($G$9:$G$52)*POISSON(F18,$H$7,FALSE())</f>
        <v>13.4264439850864</v>
      </c>
      <c r="I18" s="21" t="n">
        <f aca="false">IF(G18&gt;0,(G18-H18)^2/G18,0)</f>
        <v>0.535239128432908</v>
      </c>
      <c r="K18" s="20" t="n">
        <v>88</v>
      </c>
      <c r="L18" s="20" t="n">
        <v>3</v>
      </c>
      <c r="M18" s="43" t="n">
        <f aca="false">SUM($L$9:$L$74)*POISSON(K18,$M$7,FALSE())</f>
        <v>2.53608512801301</v>
      </c>
      <c r="N18" s="21" t="n">
        <f aca="false">IF(L18&gt;0,(L18-M18)^2/L18,0)</f>
        <v>0.0717390028169018</v>
      </c>
    </row>
    <row r="19" customFormat="false" ht="15" hidden="false" customHeight="false" outlineLevel="0" collapsed="false">
      <c r="A19" s="20" t="n">
        <v>10</v>
      </c>
      <c r="B19" s="20" t="n">
        <v>35</v>
      </c>
      <c r="C19" s="43" t="n">
        <f aca="false">SUM($B$9:$B$23)*POISSON(A19,$C$7,FALSE())</f>
        <v>28.9949393271056</v>
      </c>
      <c r="D19" s="21" t="n">
        <f aca="false">IF(B19&gt;0,(B19-C19)^2/B19,0)</f>
        <v>1.03030724814695</v>
      </c>
      <c r="F19" s="20" t="n">
        <v>31</v>
      </c>
      <c r="G19" s="20" t="n">
        <v>20</v>
      </c>
      <c r="H19" s="43" t="n">
        <f aca="false">SUM($G$9:$G$52)*POISSON(F19,$H$7,FALSE())</f>
        <v>17.852839389202</v>
      </c>
      <c r="I19" s="21" t="n">
        <f aca="false">IF(G19&gt;0,(G19-H19)^2/G19,0)</f>
        <v>0.230514934428126</v>
      </c>
      <c r="K19" s="20" t="n">
        <v>89</v>
      </c>
      <c r="L19" s="20" t="n">
        <v>3</v>
      </c>
      <c r="M19" s="43" t="n">
        <f aca="false">SUM($L$9:$L$74)*POISSON(K19,$M$7,FALSE())</f>
        <v>3.19689202822224</v>
      </c>
      <c r="N19" s="21" t="n">
        <f aca="false">IF(L19&gt;0,(L19-M19)^2/L19,0)</f>
        <v>0.0129221569258228</v>
      </c>
    </row>
    <row r="20" customFormat="false" ht="15" hidden="false" customHeight="false" outlineLevel="0" collapsed="false">
      <c r="A20" s="20" t="n">
        <v>11</v>
      </c>
      <c r="B20" s="20" t="n">
        <v>19</v>
      </c>
      <c r="C20" s="43" t="n">
        <f aca="false">SUM($B$9:$B$23)*POISSON(A20,$C$7,FALSE())</f>
        <v>14.5501877350566</v>
      </c>
      <c r="D20" s="21" t="n">
        <f aca="false">IF(B20&gt;0,(B20-C20)^2/B20,0)</f>
        <v>1.0421489049074</v>
      </c>
      <c r="F20" s="20" t="n">
        <v>32</v>
      </c>
      <c r="G20" s="20" t="n">
        <v>25</v>
      </c>
      <c r="H20" s="43" t="n">
        <f aca="false">SUM($G$9:$G$52)*POISSON(F20,$H$7,FALSE())</f>
        <v>22.9966887382158</v>
      </c>
      <c r="I20" s="21" t="n">
        <f aca="false">IF(G20&gt;0,(G20-H20)^2/G20,0)</f>
        <v>0.160530240463655</v>
      </c>
      <c r="K20" s="20" t="n">
        <v>90</v>
      </c>
      <c r="L20" s="20" t="n">
        <v>4</v>
      </c>
      <c r="M20" s="43" t="n">
        <f aca="false">SUM($L$9:$L$74)*POISSON(K20,$M$7,FALSE())</f>
        <v>3.9851035182917</v>
      </c>
      <c r="N20" s="21" t="n">
        <f aca="false">IF(L20&gt;0,(L20-M20)^2/L20,0)</f>
        <v>5.54762918213972E-005</v>
      </c>
    </row>
    <row r="21" customFormat="false" ht="15" hidden="false" customHeight="false" outlineLevel="0" collapsed="false">
      <c r="A21" s="20" t="n">
        <v>12</v>
      </c>
      <c r="B21" s="20" t="n">
        <v>7</v>
      </c>
      <c r="C21" s="43" t="n">
        <f aca="false">SUM($B$9:$B$23)*POISSON(A21,$C$7,FALSE())</f>
        <v>6.69308635812605</v>
      </c>
      <c r="D21" s="21" t="n">
        <f aca="false">IF(B21&gt;0,(B21-C21)^2/B21,0)</f>
        <v>0.0134565690811906</v>
      </c>
      <c r="F21" s="20" t="n">
        <v>33</v>
      </c>
      <c r="G21" s="20" t="n">
        <v>20</v>
      </c>
      <c r="H21" s="43" t="n">
        <f aca="false">SUM($G$9:$G$52)*POISSON(F21,$H$7,FALSE())</f>
        <v>28.7249548420986</v>
      </c>
      <c r="I21" s="21" t="n">
        <f aca="false">IF(G21&gt;0,(G21-H21)^2/G21,0)</f>
        <v>3.80624184983303</v>
      </c>
      <c r="K21" s="20" t="n">
        <v>91</v>
      </c>
      <c r="L21" s="20" t="n">
        <v>1</v>
      </c>
      <c r="M21" s="43" t="n">
        <f aca="false">SUM($L$9:$L$74)*POISSON(K21,$M$7,FALSE())</f>
        <v>4.91306333755106</v>
      </c>
      <c r="N21" s="21" t="n">
        <f aca="false">IF(L21&gt;0,(L21-M21)^2/L21,0)</f>
        <v>15.3120646836862</v>
      </c>
    </row>
    <row r="22" customFormat="false" ht="15" hidden="false" customHeight="false" outlineLevel="0" collapsed="false">
      <c r="A22" s="20" t="n">
        <v>13</v>
      </c>
      <c r="B22" s="20" t="n">
        <v>4</v>
      </c>
      <c r="C22" s="43" t="n">
        <f aca="false">SUM($B$9:$B$23)*POISSON(A22,$C$7,FALSE())</f>
        <v>2.84198743821967</v>
      </c>
      <c r="D22" s="21" t="n">
        <f aca="false">IF(B22&gt;0,(B22-C22)^2/B22,0)</f>
        <v>0.335248273310258</v>
      </c>
      <c r="F22" s="20" t="n">
        <v>34</v>
      </c>
      <c r="G22" s="20" t="n">
        <v>33</v>
      </c>
      <c r="H22" s="43" t="n">
        <f aca="false">SUM($G$9:$G$52)*POISSON(F22,$H$7,FALSE())</f>
        <v>34.8247834879796</v>
      </c>
      <c r="I22" s="21" t="n">
        <f aca="false">IF(G22&gt;0,(G22-H22)^2/G22,0)</f>
        <v>0.100904084181909</v>
      </c>
      <c r="K22" s="20" t="n">
        <v>92</v>
      </c>
      <c r="L22" s="20" t="n">
        <v>6</v>
      </c>
      <c r="M22" s="43" t="n">
        <f aca="false">SUM($L$9:$L$74)*POISSON(K22,$M$7,FALSE())</f>
        <v>5.99126712869406</v>
      </c>
      <c r="N22" s="21" t="n">
        <f aca="false">IF(L22&gt;0,(L22-M22)^2/L22,0)</f>
        <v>1.27105068743582E-005</v>
      </c>
    </row>
    <row r="23" customFormat="false" ht="15" hidden="false" customHeight="false" outlineLevel="0" collapsed="false">
      <c r="A23" s="20" t="n">
        <v>14</v>
      </c>
      <c r="B23" s="20" t="n">
        <v>2</v>
      </c>
      <c r="C23" s="43" t="n">
        <f aca="false">SUM($B$9:$B$23)*POISSON(A23,$C$7,FALSE())</f>
        <v>1.12055504706947</v>
      </c>
      <c r="D23" s="21" t="n">
        <f aca="false">IF(B23&gt;0,(B23-C23)^2/B23,0)</f>
        <v>0.38671171261749</v>
      </c>
      <c r="F23" s="20" t="n">
        <v>35</v>
      </c>
      <c r="G23" s="20" t="n">
        <v>50</v>
      </c>
      <c r="H23" s="43" t="n">
        <f aca="false">SUM($G$9:$G$52)*POISSON(F23,$H$7,FALSE())</f>
        <v>41.0136450107005</v>
      </c>
      <c r="I23" s="21" t="n">
        <f aca="false">IF(G23&gt;0,(G23-H23)^2/G23,0)</f>
        <v>1.61509151987415</v>
      </c>
      <c r="K23" s="20" t="n">
        <v>93</v>
      </c>
      <c r="L23" s="20" t="n">
        <v>9</v>
      </c>
      <c r="M23" s="43" t="n">
        <f aca="false">SUM($L$9:$L$74)*POISSON(K23,$M$7,FALSE())</f>
        <v>7.22752966847512</v>
      </c>
      <c r="N23" s="21" t="n">
        <f aca="false">IF(L23&gt;0,(L23-M23)^2/L23,0)</f>
        <v>0.349072341792879</v>
      </c>
    </row>
    <row r="24" customFormat="false" ht="15" hidden="false" customHeight="false" outlineLevel="0" collapsed="false">
      <c r="F24" s="20" t="n">
        <v>36</v>
      </c>
      <c r="G24" s="20" t="n">
        <v>51</v>
      </c>
      <c r="H24" s="43" t="n">
        <f aca="false">SUM($G$9:$G$52)*POISSON(F24,$H$7,FALSE())</f>
        <v>46.9606235372521</v>
      </c>
      <c r="I24" s="21" t="n">
        <f aca="false">IF(G24&gt;0,(G24-H24)^2/G24,0)</f>
        <v>0.319932592309834</v>
      </c>
      <c r="K24" s="20" t="n">
        <v>94</v>
      </c>
      <c r="L24" s="20" t="n">
        <v>6</v>
      </c>
      <c r="M24" s="43" t="n">
        <f aca="false">SUM($L$9:$L$74)*POISSON(K24,$M$7,FALSE())</f>
        <v>8.62613354793855</v>
      </c>
      <c r="N24" s="21" t="n">
        <f aca="false">IF(L24&gt;0,(L24-M24)^2/L24,0)</f>
        <v>1.14942956860139</v>
      </c>
    </row>
    <row r="25" customFormat="false" ht="15" hidden="false" customHeight="false" outlineLevel="0" collapsed="false">
      <c r="F25" s="20" t="n">
        <v>37</v>
      </c>
      <c r="G25" s="20" t="n">
        <v>60</v>
      </c>
      <c r="H25" s="43" t="n">
        <f aca="false">SUM($G$9:$G$52)*POISSON(F25,$H$7,FALSE())</f>
        <v>52.316673032582</v>
      </c>
      <c r="I25" s="21" t="n">
        <f aca="false">IF(G25&gt;0,(G25-H25)^2/G25,0)</f>
        <v>0.983891888137555</v>
      </c>
      <c r="K25" s="20" t="n">
        <v>95</v>
      </c>
      <c r="L25" s="20" t="n">
        <v>10</v>
      </c>
      <c r="M25" s="43" t="n">
        <f aca="false">SUM($L$9:$L$74)*POISSON(K25,$M$7,FALSE())</f>
        <v>10.1870097130866</v>
      </c>
      <c r="N25" s="21" t="n">
        <f aca="false">IF(L25&gt;0,(L25-M25)^2/L25,0)</f>
        <v>0.00349726327887295</v>
      </c>
    </row>
    <row r="26" customFormat="false" ht="15" hidden="false" customHeight="false" outlineLevel="0" collapsed="false">
      <c r="F26" s="20" t="n">
        <v>38</v>
      </c>
      <c r="G26" s="20" t="n">
        <v>58</v>
      </c>
      <c r="H26" s="43" t="n">
        <f aca="false">SUM($G$9:$G$52)*POISSON(F26,$H$7,FALSE())</f>
        <v>56.7498226948165</v>
      </c>
      <c r="I26" s="21" t="n">
        <f aca="false">IF(G26&gt;0,(G26-H26)^2/G26,0)</f>
        <v>0.0269472981792377</v>
      </c>
      <c r="K26" s="20" t="n">
        <v>96</v>
      </c>
      <c r="L26" s="20" t="n">
        <v>15</v>
      </c>
      <c r="M26" s="43" t="n">
        <f aca="false">SUM($L$9:$L$74)*POISSON(K26,$M$7,FALSE())</f>
        <v>11.9050064553248</v>
      </c>
      <c r="N26" s="21" t="n">
        <f aca="false">IF(L26&gt;0,(L26-M26)^2/L26,0)</f>
        <v>0.63859900277206</v>
      </c>
    </row>
    <row r="27" customFormat="false" ht="15" hidden="false" customHeight="false" outlineLevel="0" collapsed="false">
      <c r="F27" s="20" t="n">
        <v>39</v>
      </c>
      <c r="G27" s="20" t="n">
        <v>63</v>
      </c>
      <c r="H27" s="43" t="n">
        <f aca="false">SUM($G$9:$G$52)*POISSON(F27,$H$7,FALSE())</f>
        <v>59.9801972174446</v>
      </c>
      <c r="I27" s="21" t="n">
        <f aca="false">IF(G27&gt;0,(G27-H27)^2/G27,0)</f>
        <v>0.144749346754438</v>
      </c>
      <c r="K27" s="20" t="n">
        <v>97</v>
      </c>
      <c r="L27" s="20" t="n">
        <v>22</v>
      </c>
      <c r="M27" s="43" t="n">
        <f aca="false">SUM($L$9:$L$74)*POISSON(K27,$M$7,FALSE())</f>
        <v>13.7693059198237</v>
      </c>
      <c r="N27" s="21" t="n">
        <f aca="false">IF(L27&gt;0,(L27-M27)^2/L27,0)</f>
        <v>3.07928750188409</v>
      </c>
    </row>
    <row r="28" customFormat="false" ht="15" hidden="false" customHeight="false" outlineLevel="0" collapsed="false">
      <c r="F28" s="20" t="n">
        <v>40</v>
      </c>
      <c r="G28" s="20" t="n">
        <v>57</v>
      </c>
      <c r="H28" s="43" t="n">
        <f aca="false">SUM($G$9:$G$52)*POISSON(F28,$H$7,FALSE())</f>
        <v>61.8095932325766</v>
      </c>
      <c r="I28" s="21" t="n">
        <f aca="false">IF(G28&gt;0,(G28-H28)^2/G28,0)</f>
        <v>0.405827843207837</v>
      </c>
      <c r="K28" s="20" t="n">
        <v>98</v>
      </c>
      <c r="L28" s="20" t="n">
        <v>24</v>
      </c>
      <c r="M28" s="43" t="n">
        <f aca="false">SUM($L$9:$L$74)*POISSON(K28,$M$7,FALSE())</f>
        <v>15.7630452157655</v>
      </c>
      <c r="N28" s="21" t="n">
        <f aca="false">IF(L28&gt;0,(L28-M28)^2/L28,0)</f>
        <v>2.82697600489685</v>
      </c>
    </row>
    <row r="29" customFormat="false" ht="15" hidden="false" customHeight="false" outlineLevel="0" collapsed="false">
      <c r="F29" s="20" t="n">
        <v>41</v>
      </c>
      <c r="G29" s="20" t="n">
        <v>57</v>
      </c>
      <c r="H29" s="43" t="n">
        <f aca="false">SUM($G$9:$G$52)*POISSON(F29,$H$7,FALSE())</f>
        <v>62.1412544645563</v>
      </c>
      <c r="I29" s="21" t="n">
        <f aca="false">IF(G29&gt;0,(G29-H29)^2/G29,0)</f>
        <v>0.463728025777544</v>
      </c>
      <c r="K29" s="20" t="n">
        <v>99</v>
      </c>
      <c r="L29" s="20" t="n">
        <v>18</v>
      </c>
      <c r="M29" s="43" t="n">
        <f aca="false">SUM($L$9:$L$74)*POISSON(K29,$M$7,FALSE())</f>
        <v>17.863192351078</v>
      </c>
      <c r="N29" s="21" t="n">
        <f aca="false">IF(L29&gt;0,(L29-M29)^2/L29,0)</f>
        <v>0.001039796266864</v>
      </c>
    </row>
    <row r="30" customFormat="false" ht="15" hidden="false" customHeight="false" outlineLevel="0" collapsed="false">
      <c r="F30" s="20" t="n">
        <v>42</v>
      </c>
      <c r="G30" s="20" t="n">
        <v>62</v>
      </c>
      <c r="H30" s="43" t="n">
        <f aca="false">SUM($G$9:$G$52)*POISSON(F30,$H$7,FALSE())</f>
        <v>60.9872025959288</v>
      </c>
      <c r="I30" s="21" t="n">
        <f aca="false">IF(G30&gt;0,(G30-H30)^2/G30,0)</f>
        <v>0.0165444932531183</v>
      </c>
      <c r="K30" s="20" t="n">
        <v>100</v>
      </c>
      <c r="L30" s="20" t="n">
        <v>14</v>
      </c>
      <c r="M30" s="43" t="n">
        <f aca="false">SUM($L$9:$L$74)*POISSON(K30,$M$7,FALSE())</f>
        <v>20.0407154986745</v>
      </c>
      <c r="N30" s="21" t="n">
        <f aca="false">IF(L30&gt;0,(L30-M30)^2/L30,0)</f>
        <v>2.60644598113756</v>
      </c>
    </row>
    <row r="31" customFormat="false" ht="15" hidden="false" customHeight="false" outlineLevel="0" collapsed="false">
      <c r="F31" s="20" t="n">
        <v>43</v>
      </c>
      <c r="G31" s="20" t="n">
        <v>52</v>
      </c>
      <c r="H31" s="43" t="n">
        <f aca="false">SUM($G$9:$G$52)*POISSON(F31,$H$7,FALSE())</f>
        <v>58.4626160698648</v>
      </c>
      <c r="I31" s="21" t="n">
        <f aca="false">IF(G31&gt;0,(G31-H31)^2/G31,0)</f>
        <v>0.803180893586048</v>
      </c>
      <c r="K31" s="20" t="n">
        <v>101</v>
      </c>
      <c r="L31" s="20" t="n">
        <v>21</v>
      </c>
      <c r="M31" s="43" t="n">
        <f aca="false">SUM($L$9:$L$74)*POISSON(K31,$M$7,FALSE())</f>
        <v>22.261068037587</v>
      </c>
      <c r="N31" s="21" t="n">
        <f aca="false">IF(L31&gt;0,(L31-M31)^2/L31,0)</f>
        <v>0.0757282188296924</v>
      </c>
    </row>
    <row r="32" customFormat="false" ht="15" hidden="false" customHeight="false" outlineLevel="0" collapsed="false">
      <c r="F32" s="20" t="n">
        <v>44</v>
      </c>
      <c r="G32" s="20" t="n">
        <v>49</v>
      </c>
      <c r="H32" s="43" t="n">
        <f aca="false">SUM($G$9:$G$52)*POISSON(F32,$H$7,FALSE())</f>
        <v>54.7688416909051</v>
      </c>
      <c r="I32" s="21" t="n">
        <f aca="false">IF(G32&gt;0,(G32-H32)^2/G32,0)</f>
        <v>0.679174172545414</v>
      </c>
      <c r="K32" s="20" t="n">
        <v>102</v>
      </c>
      <c r="L32" s="20" t="n">
        <v>20</v>
      </c>
      <c r="M32" s="43" t="n">
        <f aca="false">SUM($L$9:$L$74)*POISSON(K32,$M$7,FALSE())</f>
        <v>24.484992383695</v>
      </c>
      <c r="N32" s="21" t="n">
        <f aca="false">IF(L32&gt;0,(L32-M32)^2/L32,0)</f>
        <v>1.00575783409009</v>
      </c>
    </row>
    <row r="33" customFormat="false" ht="15" hidden="false" customHeight="false" outlineLevel="0" collapsed="false">
      <c r="F33" s="20" t="n">
        <v>45</v>
      </c>
      <c r="G33" s="20" t="n">
        <v>48</v>
      </c>
      <c r="H33" s="43" t="n">
        <f aca="false">SUM($G$9:$G$52)*POISSON(F33,$H$7,FALSE())</f>
        <v>50.1682589888691</v>
      </c>
      <c r="I33" s="21" t="n">
        <f aca="false">IF(G33&gt;0,(G33-H33)^2/G33,0)</f>
        <v>0.0979447300585766</v>
      </c>
      <c r="K33" s="20" t="n">
        <v>103</v>
      </c>
      <c r="L33" s="20" t="n">
        <v>26</v>
      </c>
      <c r="M33" s="43" t="n">
        <f aca="false">SUM($L$9:$L$74)*POISSON(K33,$M$7,FALSE())</f>
        <v>26.6696242284149</v>
      </c>
      <c r="N33" s="21" t="n">
        <f aca="false">IF(L33&gt;0,(L33-M33)^2/L33,0)</f>
        <v>0.0172460233569344</v>
      </c>
    </row>
    <row r="34" customFormat="false" ht="15" hidden="false" customHeight="false" outlineLevel="0" collapsed="false">
      <c r="F34" s="20" t="n">
        <v>46</v>
      </c>
      <c r="G34" s="20" t="n">
        <v>54</v>
      </c>
      <c r="H34" s="43" t="n">
        <f aca="false">SUM($G$9:$G$52)*POISSON(F34,$H$7,FALSE())</f>
        <v>44.9551225113301</v>
      </c>
      <c r="I34" s="21" t="n">
        <f aca="false">IF(G34&gt;0,(G34-H34)^2/G34,0)</f>
        <v>1.51499645898236</v>
      </c>
      <c r="K34" s="20" t="n">
        <v>104</v>
      </c>
      <c r="L34" s="20" t="n">
        <v>29</v>
      </c>
      <c r="M34" s="43" t="n">
        <f aca="false">SUM($L$9:$L$74)*POISSON(K34,$M$7,FALSE())</f>
        <v>28.7698571364026</v>
      </c>
      <c r="N34" s="21" t="n">
        <f aca="false">IF(L34&gt;0,(L34-M34)^2/L34,0)</f>
        <v>0.00182640474706236</v>
      </c>
    </row>
    <row r="35" customFormat="false" ht="15" hidden="false" customHeight="false" outlineLevel="0" collapsed="false">
      <c r="F35" s="20" t="n">
        <v>47</v>
      </c>
      <c r="G35" s="20" t="n">
        <v>31</v>
      </c>
      <c r="H35" s="43" t="n">
        <f aca="false">SUM($G$9:$G$52)*POISSON(F35,$H$7,FALSE())</f>
        <v>39.4265989344048</v>
      </c>
      <c r="I35" s="21" t="n">
        <f aca="false">IF(G35&gt;0,(G35-H35)^2/G35,0)</f>
        <v>2.29056676133266</v>
      </c>
      <c r="K35" s="20" t="n">
        <v>105</v>
      </c>
      <c r="L35" s="20" t="n">
        <v>28</v>
      </c>
      <c r="M35" s="43" t="n">
        <f aca="false">SUM($L$9:$L$74)*POISSON(K35,$M$7,FALSE())</f>
        <v>30.7399073536477</v>
      </c>
      <c r="N35" s="21" t="n">
        <f aca="false">IF(L35&gt;0,(L35-M35)^2/L35,0)</f>
        <v>0.268110439520454</v>
      </c>
    </row>
    <row r="36" customFormat="false" ht="15" hidden="false" customHeight="false" outlineLevel="0" collapsed="false">
      <c r="F36" s="20" t="n">
        <v>48</v>
      </c>
      <c r="G36" s="20" t="n">
        <v>32</v>
      </c>
      <c r="H36" s="43" t="n">
        <f aca="false">SUM($G$9:$G$52)*POISSON(F36,$H$7,FALSE())</f>
        <v>33.8575918349201</v>
      </c>
      <c r="I36" s="21" t="n">
        <f aca="false">IF(G36&gt;0,(G36-H36)^2/G36,0)</f>
        <v>0.107832732036311</v>
      </c>
      <c r="K36" s="20" t="n">
        <v>106</v>
      </c>
      <c r="L36" s="20" t="n">
        <v>29</v>
      </c>
      <c r="M36" s="43" t="n">
        <f aca="false">SUM($L$9:$L$74)*POISSON(K36,$M$7,FALSE())</f>
        <v>32.5350019434503</v>
      </c>
      <c r="N36" s="21" t="n">
        <f aca="false">IF(L36&gt;0,(L36-M36)^2/L36,0)</f>
        <v>0.430904784144744</v>
      </c>
    </row>
    <row r="37" customFormat="false" ht="15" hidden="false" customHeight="false" outlineLevel="0" collapsed="false">
      <c r="F37" s="20" t="n">
        <v>49</v>
      </c>
      <c r="G37" s="20" t="n">
        <v>25</v>
      </c>
      <c r="H37" s="43" t="n">
        <f aca="false">SUM($G$9:$G$52)*POISSON(F37,$H$7,FALSE())</f>
        <v>28.4818354170491</v>
      </c>
      <c r="I37" s="21" t="n">
        <f aca="false">IF(G37&gt;0,(G37-H37)^2/G37,0)</f>
        <v>0.484927114856712</v>
      </c>
      <c r="K37" s="20" t="n">
        <v>107</v>
      </c>
      <c r="L37" s="20" t="n">
        <v>29</v>
      </c>
      <c r="M37" s="43" t="n">
        <f aca="false">SUM($L$9:$L$74)*POISSON(K37,$M$7,FALSE())</f>
        <v>34.113101570427</v>
      </c>
      <c r="N37" s="21" t="n">
        <f aca="false">IF(L37&gt;0,(L37-M37)^2/L37,0)</f>
        <v>0.901510609293221</v>
      </c>
    </row>
    <row r="38" customFormat="false" ht="15" hidden="false" customHeight="false" outlineLevel="0" collapsed="false">
      <c r="F38" s="20" t="n">
        <v>50</v>
      </c>
      <c r="G38" s="20" t="n">
        <v>29</v>
      </c>
      <c r="H38" s="43" t="n">
        <f aca="false">SUM($G$9:$G$52)*POISSON(F38,$H$7,FALSE())</f>
        <v>23.4804251178153</v>
      </c>
      <c r="I38" s="21" t="n">
        <f aca="false">IF(G38&gt;0,(G38-H38)^2/G38,0)</f>
        <v>1.05054161655324</v>
      </c>
      <c r="K38" s="20" t="n">
        <v>108</v>
      </c>
      <c r="L38" s="20" t="n">
        <v>30</v>
      </c>
      <c r="M38" s="43" t="n">
        <f aca="false">SUM($L$9:$L$74)*POISSON(K38,$M$7,FALSE())</f>
        <v>35.436563566539</v>
      </c>
      <c r="N38" s="21" t="n">
        <f aca="false">IF(L38&gt;0,(L38-M38)^2/L38,0)</f>
        <v>0.985207447100629</v>
      </c>
    </row>
    <row r="39" customFormat="false" ht="15" hidden="false" customHeight="false" outlineLevel="0" collapsed="false">
      <c r="F39" s="20" t="n">
        <v>51</v>
      </c>
      <c r="G39" s="20" t="n">
        <v>23</v>
      </c>
      <c r="H39" s="43" t="n">
        <f aca="false">SUM($G$9:$G$52)*POISSON(F39,$H$7,FALSE())</f>
        <v>18.9777083011049</v>
      </c>
      <c r="I39" s="21" t="n">
        <f aca="false">IF(G39&gt;0,(G39-H39)^2/G39,0)</f>
        <v>0.703427413521775</v>
      </c>
      <c r="K39" s="20" t="n">
        <v>109</v>
      </c>
      <c r="L39" s="20" t="n">
        <v>38</v>
      </c>
      <c r="M39" s="43" t="n">
        <f aca="false">SUM($L$9:$L$74)*POISSON(K39,$M$7,FALSE())</f>
        <v>36.4736519865138</v>
      </c>
      <c r="N39" s="21" t="n">
        <f aca="false">IF(L39&gt;0,(L39-M39)^2/L39,0)</f>
        <v>0.0613089015335065</v>
      </c>
    </row>
    <row r="40" customFormat="false" ht="15" hidden="false" customHeight="false" outlineLevel="0" collapsed="false">
      <c r="F40" s="20" t="n">
        <v>52</v>
      </c>
      <c r="G40" s="20" t="n">
        <v>18</v>
      </c>
      <c r="H40" s="43" t="n">
        <f aca="false">SUM($G$9:$G$52)*POISSON(F40,$H$7,FALSE())</f>
        <v>15.0434833879143</v>
      </c>
      <c r="I40" s="21" t="n">
        <f aca="false">IF(G40&gt;0,(G40-H40)^2/G40,0)</f>
        <v>0.485610582085494</v>
      </c>
      <c r="K40" s="20" t="n">
        <v>110</v>
      </c>
      <c r="L40" s="20" t="n">
        <v>45</v>
      </c>
      <c r="M40" s="43" t="n">
        <f aca="false">SUM($L$9:$L$74)*POISSON(K40,$M$7,FALSE())</f>
        <v>37.1998092396999</v>
      </c>
      <c r="N40" s="21" t="n">
        <f aca="false">IF(L40&gt;0,(L40-M40)^2/L40,0)</f>
        <v>1.35206613104603</v>
      </c>
    </row>
    <row r="41" customFormat="false" ht="15" hidden="false" customHeight="false" outlineLevel="0" collapsed="false">
      <c r="F41" s="20" t="n">
        <v>53</v>
      </c>
      <c r="G41" s="20" t="n">
        <v>9</v>
      </c>
      <c r="H41" s="43" t="n">
        <f aca="false">SUM($G$9:$G$52)*POISSON(F41,$H$7,FALSE())</f>
        <v>11.6998563254684</v>
      </c>
      <c r="I41" s="21" t="n">
        <f aca="false">IF(G41&gt;0,(G41-H41)^2/G41,0)</f>
        <v>0.809913797574648</v>
      </c>
      <c r="K41" s="20" t="n">
        <v>111</v>
      </c>
      <c r="L41" s="20" t="n">
        <v>39</v>
      </c>
      <c r="M41" s="43" t="n">
        <f aca="false">SUM($L$9:$L$74)*POISSON(K41,$M$7,FALSE())</f>
        <v>37.5986180054228</v>
      </c>
      <c r="N41" s="21" t="n">
        <f aca="false">IF(L41&gt;0,(L41-M41)^2/L41,0)</f>
        <v>0.05035567935193</v>
      </c>
    </row>
    <row r="42" customFormat="false" ht="15" hidden="false" customHeight="false" outlineLevel="0" collapsed="false">
      <c r="F42" s="20" t="n">
        <v>54</v>
      </c>
      <c r="G42" s="20" t="n">
        <v>13</v>
      </c>
      <c r="H42" s="43" t="n">
        <f aca="false">SUM($G$9:$G$52)*POISSON(F42,$H$7,FALSE())</f>
        <v>8.93089032844089</v>
      </c>
      <c r="I42" s="21" t="n">
        <f aca="false">IF(G42&gt;0,(G42-H42)^2/G42,0)</f>
        <v>1.27366565532122</v>
      </c>
      <c r="K42" s="20" t="n">
        <v>112</v>
      </c>
      <c r="L42" s="20" t="n">
        <v>43</v>
      </c>
      <c r="M42" s="43" t="n">
        <f aca="false">SUM($L$9:$L$74)*POISSON(K42,$M$7,FALSE())</f>
        <v>37.6624013752534</v>
      </c>
      <c r="N42" s="21" t="n">
        <f aca="false">IF(L42&gt;0,(L42-M42)^2/L42,0)</f>
        <v>0.662557187881322</v>
      </c>
    </row>
    <row r="43" customFormat="false" ht="15" hidden="false" customHeight="false" outlineLevel="0" collapsed="false">
      <c r="F43" s="20" t="n">
        <v>55</v>
      </c>
      <c r="G43" s="20" t="n">
        <v>7</v>
      </c>
      <c r="H43" s="43" t="n">
        <f aca="false">SUM($G$9:$G$52)*POISSON(F43,$H$7,FALSE())</f>
        <v>6.69329635160607</v>
      </c>
      <c r="I43" s="21" t="n">
        <f aca="false">IF(G43&gt;0,(G43-H43)^2/G43,0)</f>
        <v>0.0134381611340214</v>
      </c>
      <c r="K43" s="20" t="n">
        <v>113</v>
      </c>
      <c r="L43" s="20" t="n">
        <v>36</v>
      </c>
      <c r="M43" s="43" t="n">
        <f aca="false">SUM($L$9:$L$74)*POISSON(K43,$M$7,FALSE())</f>
        <v>37.3924319494662</v>
      </c>
      <c r="N43" s="21" t="n">
        <f aca="false">IF(L43&gt;0,(L43-M43)^2/L43,0)</f>
        <v>0.053857409274839</v>
      </c>
    </row>
    <row r="44" customFormat="false" ht="15" hidden="false" customHeight="false" outlineLevel="0" collapsed="false">
      <c r="F44" s="20" t="n">
        <v>56</v>
      </c>
      <c r="G44" s="20" t="n">
        <v>9</v>
      </c>
      <c r="H44" s="43" t="n">
        <f aca="false">SUM($G$9:$G$52)*POISSON(F44,$H$7,FALSE())</f>
        <v>4.92674420737861</v>
      </c>
      <c r="I44" s="21" t="n">
        <f aca="false">IF(G44&gt;0,(G44-H44)^2/G44,0)</f>
        <v>1.84349030579152</v>
      </c>
      <c r="K44" s="20" t="n">
        <v>114</v>
      </c>
      <c r="L44" s="20" t="n">
        <v>46</v>
      </c>
      <c r="M44" s="43" t="n">
        <f aca="false">SUM($L$9:$L$74)*POISSON(K44,$M$7,FALSE())</f>
        <v>36.7987450913212</v>
      </c>
      <c r="N44" s="21" t="n">
        <f aca="false">IF(L44&gt;0,(L44-M44)^2/L44,0)</f>
        <v>1.84050199770623</v>
      </c>
    </row>
    <row r="45" customFormat="false" ht="15" hidden="false" customHeight="false" outlineLevel="0" collapsed="false">
      <c r="F45" s="20" t="n">
        <v>57</v>
      </c>
      <c r="G45" s="20" t="n">
        <v>3</v>
      </c>
      <c r="H45" s="43" t="n">
        <f aca="false">SUM($G$9:$G$52)*POISSON(F45,$H$7,FALSE())</f>
        <v>3.56281396891485</v>
      </c>
      <c r="I45" s="21" t="n">
        <f aca="false">IF(G45&gt;0,(G45-H45)^2/G45,0)</f>
        <v>0.105586521201894</v>
      </c>
      <c r="K45" s="20" t="n">
        <v>115</v>
      </c>
      <c r="L45" s="20" t="n">
        <v>37</v>
      </c>
      <c r="M45" s="43" t="n">
        <f aca="false">SUM($L$9:$L$74)*POISSON(K45,$M$7,FALSE())</f>
        <v>35.8995757547419</v>
      </c>
      <c r="N45" s="21" t="n">
        <f aca="false">IF(L45&gt;0,(L45-M45)^2/L45,0)</f>
        <v>0.0327279329608604</v>
      </c>
    </row>
    <row r="46" customFormat="false" ht="15" hidden="false" customHeight="false" outlineLevel="0" collapsed="false">
      <c r="F46" s="20" t="n">
        <v>58</v>
      </c>
      <c r="G46" s="20" t="n">
        <v>3</v>
      </c>
      <c r="H46" s="43" t="n">
        <f aca="false">SUM($G$9:$G$52)*POISSON(F46,$H$7,FALSE())</f>
        <v>2.53205503101155</v>
      </c>
      <c r="I46" s="21" t="n">
        <f aca="false">IF(G46&gt;0,(G46-H46)^2/G46,0)</f>
        <v>0.0729908313338669</v>
      </c>
      <c r="K46" s="20" t="n">
        <v>116</v>
      </c>
      <c r="L46" s="20" t="n">
        <v>35</v>
      </c>
      <c r="M46" s="43" t="n">
        <f aca="false">SUM($L$9:$L$74)*POISSON(K46,$M$7,FALSE())</f>
        <v>34.7204603786594</v>
      </c>
      <c r="N46" s="21" t="n">
        <f aca="false">IF(L46&gt;0,(L46-M46)^2/L46,0)</f>
        <v>0.00223263999712058</v>
      </c>
    </row>
    <row r="47" customFormat="false" ht="15" hidden="false" customHeight="false" outlineLevel="0" collapsed="false">
      <c r="F47" s="20" t="n">
        <v>59</v>
      </c>
      <c r="G47" s="20" t="n">
        <v>2</v>
      </c>
      <c r="H47" s="43" t="n">
        <f aca="false">SUM($G$9:$G$52)*POISSON(F47,$H$7,FALSE())</f>
        <v>1.76900522675078</v>
      </c>
      <c r="I47" s="21" t="n">
        <f aca="false">IF(G47&gt;0,(G47-H47)^2/G47,0)</f>
        <v>0.0266792926342288</v>
      </c>
      <c r="K47" s="20" t="n">
        <v>117</v>
      </c>
      <c r="L47" s="20" t="n">
        <v>33</v>
      </c>
      <c r="M47" s="43" t="n">
        <f aca="false">SUM($L$9:$L$74)*POISSON(K47,$M$7,FALSE())</f>
        <v>33.2930636742034</v>
      </c>
      <c r="N47" s="21" t="n">
        <f aca="false">IF(L47&gt;0,(L47-M47)^2/L47,0)</f>
        <v>0.00260261567083694</v>
      </c>
    </row>
    <row r="48" customFormat="false" ht="15" hidden="false" customHeight="false" outlineLevel="0" collapsed="false">
      <c r="F48" s="20" t="n">
        <v>60</v>
      </c>
      <c r="G48" s="20" t="n">
        <v>0</v>
      </c>
      <c r="H48" s="43" t="n">
        <f aca="false">SUM($G$9:$G$52)*POISSON(F48,$H$7,FALSE())</f>
        <v>1.21530659077779</v>
      </c>
      <c r="I48" s="21" t="n">
        <f aca="false">IF(G48&gt;0,(G48-H48)^2/G48,0)</f>
        <v>0</v>
      </c>
      <c r="K48" s="20" t="n">
        <v>118</v>
      </c>
      <c r="L48" s="20" t="n">
        <v>31</v>
      </c>
      <c r="M48" s="43" t="n">
        <f aca="false">SUM($L$9:$L$74)*POISSON(K48,$M$7,FALSE())</f>
        <v>31.65380350516</v>
      </c>
      <c r="N48" s="21" t="n">
        <f aca="false">IF(L48&gt;0,(L48-M48)^2/L48,0)</f>
        <v>0.0137890007535341</v>
      </c>
    </row>
    <row r="49" customFormat="false" ht="15" hidden="false" customHeight="false" outlineLevel="0" collapsed="false">
      <c r="F49" s="20" t="n">
        <v>61</v>
      </c>
      <c r="G49" s="20" t="n">
        <v>1</v>
      </c>
      <c r="H49" s="43" t="n">
        <f aca="false">SUM($G$9:$G$52)*POISSON(F49,$H$7,FALSE())</f>
        <v>0.821228486423941</v>
      </c>
      <c r="I49" s="21" t="n">
        <f aca="false">IF(G49&gt;0,(G49-H49)^2/G49,0)</f>
        <v>0.0319592540662751</v>
      </c>
      <c r="K49" s="20" t="n">
        <v>119</v>
      </c>
      <c r="L49" s="20" t="n">
        <v>29</v>
      </c>
      <c r="M49" s="43" t="n">
        <f aca="false">SUM($L$9:$L$74)*POISSON(K49,$M$7,FALSE())</f>
        <v>29.8423547499488</v>
      </c>
      <c r="N49" s="21" t="n">
        <f aca="false">IF(L49&gt;0,(L49-M49)^2/L49,0)</f>
        <v>0.0244676387848714</v>
      </c>
    </row>
    <row r="50" customFormat="false" ht="15" hidden="false" customHeight="false" outlineLevel="0" collapsed="false">
      <c r="F50" s="20" t="n">
        <v>62</v>
      </c>
      <c r="G50" s="20" t="n">
        <v>0</v>
      </c>
      <c r="H50" s="43" t="n">
        <f aca="false">SUM($G$9:$G$52)*POISSON(F50,$H$7,FALSE())</f>
        <v>0.545984487264433</v>
      </c>
      <c r="I50" s="21" t="n">
        <f aca="false">IF(G50&gt;0,(G50-H50)^2/G50,0)</f>
        <v>0</v>
      </c>
      <c r="K50" s="20" t="n">
        <v>120</v>
      </c>
      <c r="L50" s="20" t="n">
        <v>30</v>
      </c>
      <c r="M50" s="43" t="n">
        <f aca="false">SUM($L$9:$L$74)*POISSON(K50,$M$7,FALSE())</f>
        <v>27.9001148283063</v>
      </c>
      <c r="N50" s="21" t="n">
        <f aca="false">IF(L50&gt;0,(L50-M50)^2/L50,0)</f>
        <v>0.146983924476638</v>
      </c>
    </row>
    <row r="51" customFormat="false" ht="15" hidden="false" customHeight="false" outlineLevel="0" collapsed="false">
      <c r="F51" s="20" t="n">
        <v>63</v>
      </c>
      <c r="G51" s="20" t="n">
        <v>0</v>
      </c>
      <c r="H51" s="43" t="n">
        <f aca="false">SUM($G$9:$G$52)*POISSON(F51,$H$7,FALSE())</f>
        <v>0.357229850238729</v>
      </c>
      <c r="I51" s="21" t="n">
        <f aca="false">IF(G51&gt;0,(G51-H51)^2/G51,0)</f>
        <v>0</v>
      </c>
      <c r="K51" s="20" t="n">
        <v>121</v>
      </c>
      <c r="L51" s="20" t="n">
        <v>28</v>
      </c>
      <c r="M51" s="43" t="n">
        <f aca="false">SUM($L$9:$L$74)*POISSON(K51,$M$7,FALSE())</f>
        <v>25.8687097734519</v>
      </c>
      <c r="N51" s="21" t="n">
        <f aca="false">IF(L51&gt;0,(L51-M51)^2/L51,0)</f>
        <v>0.16222850106355</v>
      </c>
    </row>
    <row r="52" customFormat="false" ht="15" hidden="false" customHeight="false" outlineLevel="0" collapsed="false">
      <c r="F52" s="20" t="n">
        <v>64</v>
      </c>
      <c r="G52" s="20" t="n">
        <v>1</v>
      </c>
      <c r="H52" s="43" t="n">
        <f aca="false">SUM($G$9:$G$52)*POISSON(F52,$H$7,FALSE())</f>
        <v>0.230078350419381</v>
      </c>
      <c r="I52" s="21" t="n">
        <f aca="false">IF(G52&gt;0,(G52-H52)^2/G52,0)</f>
        <v>0.592779346492941</v>
      </c>
      <c r="K52" s="20" t="n">
        <v>122</v>
      </c>
      <c r="L52" s="20" t="n">
        <v>19</v>
      </c>
      <c r="M52" s="43" t="n">
        <f aca="false">SUM($L$9:$L$74)*POISSON(K52,$M$7,FALSE())</f>
        <v>23.7886110613407</v>
      </c>
      <c r="N52" s="21" t="n">
        <f aca="false">IF(L52&gt;0,(L52-M52)^2/L52,0)</f>
        <v>1.20688399456815</v>
      </c>
    </row>
    <row r="53" customFormat="false" ht="15" hidden="false" customHeight="false" outlineLevel="0" collapsed="false">
      <c r="K53" s="20" t="n">
        <v>123</v>
      </c>
      <c r="L53" s="20" t="n">
        <v>22</v>
      </c>
      <c r="M53" s="43" t="n">
        <f aca="false">SUM($L$9:$L$74)*POISSON(K53,$M$7,FALSE())</f>
        <v>21.6979209347302</v>
      </c>
      <c r="N53" s="21" t="n">
        <f aca="false">IF(L53&gt;0,(L53-M53)^2/L53,0)</f>
        <v>0.00414780734882998</v>
      </c>
    </row>
    <row r="54" customFormat="false" ht="15" hidden="false" customHeight="false" outlineLevel="0" collapsed="false">
      <c r="K54" s="20" t="n">
        <v>124</v>
      </c>
      <c r="L54" s="20" t="n">
        <v>16</v>
      </c>
      <c r="M54" s="43" t="n">
        <f aca="false">SUM($L$9:$L$74)*POISSON(K54,$M$7,FALSE())</f>
        <v>19.6313689489305</v>
      </c>
      <c r="N54" s="21" t="n">
        <f aca="false">IF(L54&gt;0,(L54-M54)^2/L54,0)</f>
        <v>0.824177527703546</v>
      </c>
    </row>
    <row r="55" customFormat="false" ht="15" hidden="false" customHeight="false" outlineLevel="0" collapsed="false">
      <c r="K55" s="20" t="n">
        <v>125</v>
      </c>
      <c r="L55" s="20" t="n">
        <v>21</v>
      </c>
      <c r="M55" s="43" t="n">
        <f aca="false">SUM($L$9:$L$74)*POISSON(K55,$M$7,FALSE())</f>
        <v>17.6195462590441</v>
      </c>
      <c r="N55" s="21" t="n">
        <f aca="false">IF(L55&gt;0,(L55-M55)^2/L55,0)</f>
        <v>0.544165118797268</v>
      </c>
    </row>
    <row r="56" customFormat="false" ht="15" hidden="false" customHeight="false" outlineLevel="0" collapsed="false">
      <c r="K56" s="20" t="n">
        <v>126</v>
      </c>
      <c r="L56" s="20" t="n">
        <v>12</v>
      </c>
      <c r="M56" s="43" t="n">
        <f aca="false">SUM($L$9:$L$74)*POISSON(K56,$M$7,FALSE())</f>
        <v>15.6883880539854</v>
      </c>
      <c r="N56" s="21" t="n">
        <f aca="false">IF(L56&gt;0,(L56-M56)^2/L56,0)</f>
        <v>1.13368386973185</v>
      </c>
    </row>
    <row r="57" customFormat="false" ht="15" hidden="false" customHeight="false" outlineLevel="0" collapsed="false">
      <c r="K57" s="20" t="n">
        <v>127</v>
      </c>
      <c r="L57" s="20" t="n">
        <v>17</v>
      </c>
      <c r="M57" s="43" t="n">
        <f aca="false">SUM($L$9:$L$74)*POISSON(K57,$M$7,FALSE())</f>
        <v>13.8588996517844</v>
      </c>
      <c r="N57" s="21" t="n">
        <f aca="false">IF(L57&gt;0,(L57-M57)^2/L57,0)</f>
        <v>0.580383023385885</v>
      </c>
    </row>
    <row r="58" customFormat="false" ht="15" hidden="false" customHeight="false" outlineLevel="0" collapsed="false">
      <c r="K58" s="20" t="n">
        <v>128</v>
      </c>
      <c r="L58" s="20" t="n">
        <v>10</v>
      </c>
      <c r="M58" s="43" t="n">
        <f aca="false">SUM($L$9:$L$74)*POISSON(K58,$M$7,FALSE())</f>
        <v>12.147108999482</v>
      </c>
      <c r="N58" s="21" t="n">
        <f aca="false">IF(L58&gt;0,(L58-M58)^2/L58,0)</f>
        <v>0.461007705565653</v>
      </c>
    </row>
    <row r="59" customFormat="false" ht="15" hidden="false" customHeight="false" outlineLevel="0" collapsed="false">
      <c r="K59" s="20" t="n">
        <v>129</v>
      </c>
      <c r="L59" s="20" t="n">
        <v>11</v>
      </c>
      <c r="M59" s="43" t="n">
        <f aca="false">SUM($L$9:$L$74)*POISSON(K59,$M$7,FALSE())</f>
        <v>10.5642182841231</v>
      </c>
      <c r="N59" s="21" t="n">
        <f aca="false">IF(L59&gt;0,(L59-M59)^2/L59,0)</f>
        <v>0.0172641548993262</v>
      </c>
    </row>
    <row r="60" customFormat="false" ht="15" hidden="false" customHeight="false" outlineLevel="0" collapsed="false">
      <c r="K60" s="20" t="n">
        <v>130</v>
      </c>
      <c r="L60" s="20" t="n">
        <v>11</v>
      </c>
      <c r="M60" s="43" t="n">
        <f aca="false">SUM($L$9:$L$74)*POISSON(K60,$M$7,FALSE())</f>
        <v>9.11692037919826</v>
      </c>
      <c r="N60" s="21" t="n">
        <f aca="false">IF(L60&gt;0,(L60-M60)^2/L60,0)</f>
        <v>0.322362623479892</v>
      </c>
    </row>
    <row r="61" customFormat="false" ht="15" hidden="false" customHeight="false" outlineLevel="0" collapsed="false">
      <c r="K61" s="20" t="n">
        <v>131</v>
      </c>
      <c r="L61" s="20" t="n">
        <v>7</v>
      </c>
      <c r="M61" s="43" t="n">
        <f aca="false">SUM($L$9:$L$74)*POISSON(K61,$M$7,FALSE())</f>
        <v>7.80784196444468</v>
      </c>
      <c r="N61" s="21" t="n">
        <f aca="false">IF(L61&gt;0,(L61-M61)^2/L61,0)</f>
        <v>0.0932298056454055</v>
      </c>
    </row>
    <row r="62" customFormat="false" ht="15" hidden="false" customHeight="false" outlineLevel="0" collapsed="false">
      <c r="K62" s="20" t="n">
        <v>132</v>
      </c>
      <c r="L62" s="20" t="n">
        <v>9</v>
      </c>
      <c r="M62" s="43" t="n">
        <f aca="false">SUM($L$9:$L$74)*POISSON(K62,$M$7,FALSE())</f>
        <v>6.63607416659885</v>
      </c>
      <c r="N62" s="21" t="n">
        <f aca="false">IF(L62&gt;0,(L62-M62)^2/L62,0)</f>
        <v>0.62090503842459</v>
      </c>
    </row>
    <row r="63" customFormat="false" ht="15" hidden="false" customHeight="false" outlineLevel="0" collapsed="false">
      <c r="K63" s="20" t="n">
        <v>133</v>
      </c>
      <c r="L63" s="20" t="n">
        <v>3</v>
      </c>
      <c r="M63" s="43" t="n">
        <f aca="false">SUM($L$9:$L$74)*POISSON(K63,$M$7,FALSE())</f>
        <v>5.59775308835132</v>
      </c>
      <c r="N63" s="21" t="n">
        <f aca="false">IF(L63&gt;0,(L63-M63)^2/L63,0)</f>
        <v>2.24944036934627</v>
      </c>
    </row>
    <row r="64" customFormat="false" ht="15" hidden="false" customHeight="false" outlineLevel="0" collapsed="false">
      <c r="K64" s="20" t="n">
        <v>134</v>
      </c>
      <c r="L64" s="20" t="n">
        <v>7</v>
      </c>
      <c r="M64" s="43" t="n">
        <f aca="false">SUM($L$9:$L$74)*POISSON(K64,$M$7,FALSE())</f>
        <v>4.68665611180697</v>
      </c>
      <c r="N64" s="21" t="n">
        <f aca="false">IF(L64&gt;0,(L64-M64)^2/L64,0)</f>
        <v>0.764508563577148</v>
      </c>
    </row>
    <row r="65" customFormat="false" ht="15" hidden="false" customHeight="false" outlineLevel="0" collapsed="false">
      <c r="K65" s="20" t="n">
        <v>135</v>
      </c>
      <c r="L65" s="20" t="n">
        <v>4</v>
      </c>
      <c r="M65" s="43" t="n">
        <f aca="false">SUM($L$9:$L$74)*POISSON(K65,$M$7,FALSE())</f>
        <v>3.89478480876759</v>
      </c>
      <c r="N65" s="21" t="n">
        <f aca="false">IF(L65&gt;0,(L65-M65)^2/L65,0)</f>
        <v>0.00276755911651835</v>
      </c>
    </row>
    <row r="66" customFormat="false" ht="15" hidden="false" customHeight="false" outlineLevel="0" collapsed="false">
      <c r="K66" s="20" t="n">
        <v>136</v>
      </c>
      <c r="L66" s="20" t="n">
        <v>3</v>
      </c>
      <c r="M66" s="43" t="n">
        <f aca="false">SUM($L$9:$L$74)*POISSON(K66,$M$7,FALSE())</f>
        <v>3.21291108599732</v>
      </c>
      <c r="N66" s="21" t="n">
        <f aca="false">IF(L66&gt;0,(L66-M66)^2/L66,0)</f>
        <v>0.0151103768468527</v>
      </c>
    </row>
    <row r="67" customFormat="false" ht="15" hidden="false" customHeight="false" outlineLevel="0" collapsed="false">
      <c r="K67" s="20" t="n">
        <v>137</v>
      </c>
      <c r="L67" s="20" t="n">
        <v>1</v>
      </c>
      <c r="M67" s="43" t="n">
        <f aca="false">SUM($L$9:$L$74)*POISSON(K67,$M$7,FALSE())</f>
        <v>2.63106930465722</v>
      </c>
      <c r="N67" s="21" t="n">
        <f aca="false">IF(L67&gt;0,(L67-M67)^2/L67,0)</f>
        <v>2.66038707659499</v>
      </c>
    </row>
    <row r="68" customFormat="false" ht="15" hidden="false" customHeight="false" outlineLevel="0" collapsed="false">
      <c r="K68" s="20" t="n">
        <v>138</v>
      </c>
      <c r="L68" s="20" t="n">
        <v>0</v>
      </c>
      <c r="M68" s="43" t="n">
        <f aca="false">SUM($L$9:$L$74)*POISSON(K68,$M$7,FALSE())</f>
        <v>2.13898308180793</v>
      </c>
      <c r="N68" s="21" t="n">
        <f aca="false">IF(L68&gt;0,(L68-M68)^2/L68,0)</f>
        <v>0</v>
      </c>
    </row>
    <row r="69" customFormat="false" ht="15" hidden="false" customHeight="false" outlineLevel="0" collapsed="false">
      <c r="K69" s="20" t="n">
        <v>139</v>
      </c>
      <c r="L69" s="20" t="n">
        <v>1</v>
      </c>
      <c r="M69" s="43" t="n">
        <f aca="false">SUM($L$9:$L$74)*POISSON(K69,$M$7,FALSE())</f>
        <v>1.72642094926641</v>
      </c>
      <c r="N69" s="21" t="n">
        <f aca="false">IF(L69&gt;0,(L69-M69)^2/L69,0)</f>
        <v>0.527687395533114</v>
      </c>
    </row>
    <row r="70" customFormat="false" ht="15" hidden="false" customHeight="false" outlineLevel="0" collapsed="false">
      <c r="K70" s="20" t="n">
        <v>140</v>
      </c>
      <c r="L70" s="20" t="n">
        <v>2</v>
      </c>
      <c r="M70" s="43" t="n">
        <f aca="false">SUM($L$9:$L$74)*POISSON(K70,$M$7,FALSE())</f>
        <v>1.38347975927285</v>
      </c>
      <c r="N70" s="21" t="n">
        <f aca="false">IF(L70&gt;0,(L70-M70)^2/L70,0)</f>
        <v>0.190048603613133</v>
      </c>
    </row>
    <row r="71" customFormat="false" ht="15" hidden="false" customHeight="false" outlineLevel="0" collapsed="false">
      <c r="K71" s="20" t="n">
        <v>141</v>
      </c>
      <c r="L71" s="20" t="n">
        <v>1</v>
      </c>
      <c r="M71" s="43" t="n">
        <f aca="false">SUM($L$9:$L$74)*POISSON(K71,$M$7,FALSE())</f>
        <v>1.10079854037462</v>
      </c>
      <c r="N71" s="21" t="n">
        <f aca="false">IF(L71&gt;0,(L71-M71)^2/L71,0)</f>
        <v>0.0101603457416529</v>
      </c>
    </row>
    <row r="72" customFormat="false" ht="15" hidden="false" customHeight="false" outlineLevel="0" collapsed="false">
      <c r="K72" s="20" t="n">
        <v>142</v>
      </c>
      <c r="L72" s="20" t="n">
        <v>0</v>
      </c>
      <c r="M72" s="43" t="n">
        <f aca="false">SUM($L$9:$L$74)*POISSON(K72,$M$7,FALSE())</f>
        <v>0.869708367919916</v>
      </c>
      <c r="N72" s="21" t="n">
        <f aca="false">IF(L72&gt;0,(L72-M72)^2/L72,0)</f>
        <v>0</v>
      </c>
    </row>
    <row r="73" customFormat="false" ht="15" hidden="false" customHeight="false" outlineLevel="0" collapsed="false">
      <c r="K73" s="20" t="n">
        <v>143</v>
      </c>
      <c r="L73" s="20" t="n">
        <v>0</v>
      </c>
      <c r="M73" s="43" t="n">
        <f aca="false">SUM($L$9:$L$74)*POISSON(K73,$M$7,FALSE())</f>
        <v>0.682325746831716</v>
      </c>
      <c r="N73" s="21" t="n">
        <f aca="false">IF(L73&gt;0,(L73-M73)^2/L73,0)</f>
        <v>0</v>
      </c>
    </row>
    <row r="74" customFormat="false" ht="15" hidden="false" customHeight="false" outlineLevel="0" collapsed="false">
      <c r="K74" s="20" t="n">
        <v>144</v>
      </c>
      <c r="L74" s="20" t="n">
        <v>1</v>
      </c>
      <c r="M74" s="43" t="n">
        <f aca="false">SUM($L$9:$L$74)*POISSON(K74,$M$7,FALSE())</f>
        <v>0.531598094007293</v>
      </c>
      <c r="N74" s="21" t="n">
        <f aca="false">IF(L74&gt;0,(L74-M74)^2/L74,0)</f>
        <v>0.219400345537601</v>
      </c>
    </row>
    <row r="77" customFormat="false" ht="15" hidden="false" customHeight="true" outlineLevel="0" collapsed="false">
      <c r="A77" s="12" t="s">
        <v>191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customFormat="false" ht="30" hidden="false" customHeight="true" outlineLevel="0" collapsed="false">
      <c r="A78" s="32" t="s">
        <v>101</v>
      </c>
      <c r="B78" s="32"/>
      <c r="C78" s="32"/>
      <c r="D78" s="32"/>
      <c r="E78" s="32"/>
      <c r="F78" s="44" t="s">
        <v>92</v>
      </c>
      <c r="G78" s="44"/>
      <c r="H78" s="44"/>
      <c r="I78" s="44" t="s">
        <v>93</v>
      </c>
      <c r="J78" s="44"/>
      <c r="K78" s="44"/>
      <c r="L78" s="44" t="s">
        <v>94</v>
      </c>
      <c r="M78" s="44"/>
      <c r="N78" s="44"/>
    </row>
    <row r="79" customFormat="false" ht="15" hidden="false" customHeight="true" outlineLevel="0" collapsed="false">
      <c r="A79" s="45" t="s">
        <v>192</v>
      </c>
      <c r="B79" s="45"/>
      <c r="C79" s="45"/>
      <c r="D79" s="45"/>
      <c r="E79" s="45"/>
      <c r="F79" s="24" t="n">
        <f aca="false">SUM($B$9:$B$23)</f>
        <v>1000</v>
      </c>
      <c r="G79" s="24"/>
      <c r="H79" s="24"/>
      <c r="I79" s="24" t="n">
        <f aca="false">SUM($G$9:$G$52)</f>
        <v>1000</v>
      </c>
      <c r="J79" s="24"/>
      <c r="K79" s="24"/>
      <c r="L79" s="24" t="n">
        <f aca="false">SUM($L$9:$L$74)</f>
        <v>1000</v>
      </c>
      <c r="M79" s="24"/>
      <c r="N79" s="24"/>
    </row>
    <row r="80" customFormat="false" ht="15" hidden="false" customHeight="true" outlineLevel="0" collapsed="false">
      <c r="A80" s="45" t="s">
        <v>193</v>
      </c>
      <c r="B80" s="45"/>
      <c r="C80" s="45"/>
      <c r="D80" s="45"/>
      <c r="E80" s="45"/>
      <c r="F80" s="21" t="n">
        <f aca="false">SUMPRODUCT($A$9:$A$23,$B$9:$B$23)/F79</f>
        <v>5.669</v>
      </c>
      <c r="G80" s="21"/>
      <c r="H80" s="21"/>
      <c r="I80" s="21" t="n">
        <f aca="false">SUMPRODUCT($F$9:$F$52,$G$9:$G$52)/I79</f>
        <v>41.356</v>
      </c>
      <c r="J80" s="21"/>
      <c r="K80" s="21"/>
      <c r="L80" s="21" t="n">
        <f aca="false">SUMPRODUCT($K$9:$K$74,$L$9:$L$74)/L79</f>
        <v>112.112</v>
      </c>
      <c r="M80" s="21"/>
      <c r="N80" s="21"/>
    </row>
    <row r="81" customFormat="false" ht="15" hidden="false" customHeight="true" outlineLevel="0" collapsed="false">
      <c r="A81" s="45" t="s">
        <v>194</v>
      </c>
      <c r="B81" s="45"/>
      <c r="C81" s="45"/>
      <c r="D81" s="45"/>
      <c r="E81" s="45"/>
      <c r="F81" s="21" t="n">
        <f aca="false">SQRT(SUMPRODUCT($B$9:$B$23,($A$9:$A$23-F80)^2)/(F79-1))</f>
        <v>2.39356808304426</v>
      </c>
      <c r="G81" s="21"/>
      <c r="H81" s="21"/>
      <c r="I81" s="21" t="n">
        <f aca="false">SQRT(SUMPRODUCT($G$9:$G$52,($F$9:$F$52-I80)^2)/(I79-1))</f>
        <v>6.42919890799768</v>
      </c>
      <c r="J81" s="21"/>
      <c r="K81" s="21"/>
      <c r="L81" s="21" t="n">
        <f aca="false">SQRT(SUMPRODUCT($L$9:$L$74,($K$9:$K$74-L80)^2)/(L79-1))</f>
        <v>10.2687342405431</v>
      </c>
      <c r="M81" s="21"/>
      <c r="N81" s="21"/>
    </row>
    <row r="82" customFormat="false" ht="15" hidden="false" customHeight="true" outlineLevel="0" collapsed="false">
      <c r="A82" s="45" t="s">
        <v>195</v>
      </c>
      <c r="B82" s="45"/>
      <c r="C82" s="45"/>
      <c r="D82" s="45"/>
      <c r="E82" s="45"/>
      <c r="F82" s="21" t="n">
        <f aca="false">F81/SQRT(F79)</f>
        <v>0.0756912687710291</v>
      </c>
      <c r="G82" s="21"/>
      <c r="H82" s="21"/>
      <c r="I82" s="21" t="n">
        <f aca="false">I81/SQRT(I79)</f>
        <v>0.2033091207954</v>
      </c>
      <c r="J82" s="21"/>
      <c r="K82" s="21"/>
      <c r="L82" s="21" t="n">
        <f aca="false">L81/SQRT(L79)</f>
        <v>0.324725888870757</v>
      </c>
      <c r="M82" s="21"/>
      <c r="N82" s="21"/>
    </row>
    <row r="83" customFormat="false" ht="15" hidden="false" customHeight="true" outlineLevel="0" collapsed="false">
      <c r="A83" s="45" t="s">
        <v>196</v>
      </c>
      <c r="B83" s="45"/>
      <c r="C83" s="45"/>
      <c r="D83" s="45"/>
      <c r="E83" s="45"/>
      <c r="F83" s="21" t="n">
        <f aca="false">ThongKe!C10</f>
        <v>5.52</v>
      </c>
      <c r="G83" s="21"/>
      <c r="H83" s="21"/>
      <c r="I83" s="21" t="n">
        <f aca="false">ThongKe!D10</f>
        <v>41.22</v>
      </c>
      <c r="J83" s="21"/>
      <c r="K83" s="21"/>
      <c r="L83" s="21" t="n">
        <f aca="false">ThongKe!E10</f>
        <v>112.19</v>
      </c>
      <c r="M83" s="21"/>
      <c r="N83" s="21"/>
    </row>
    <row r="84" customFormat="false" ht="15" hidden="false" customHeight="true" outlineLevel="0" collapsed="false">
      <c r="A84" s="45" t="s">
        <v>112</v>
      </c>
      <c r="B84" s="45"/>
      <c r="C84" s="45"/>
      <c r="D84" s="45"/>
      <c r="E84" s="45"/>
      <c r="F84" s="21" t="n">
        <f aca="false">ThongKe!C11</f>
        <v>2.46379849628638</v>
      </c>
      <c r="G84" s="21"/>
      <c r="H84" s="21"/>
      <c r="I84" s="21" t="n">
        <f aca="false">ThongKe!D11</f>
        <v>7.03753285511824</v>
      </c>
      <c r="J84" s="21"/>
      <c r="K84" s="21"/>
      <c r="L84" s="21" t="n">
        <f aca="false">ThongKe!E11</f>
        <v>11.34820325742</v>
      </c>
      <c r="M84" s="21"/>
      <c r="N84" s="21"/>
    </row>
    <row r="85" customFormat="false" ht="15" hidden="false" customHeight="true" outlineLevel="0" collapsed="false">
      <c r="A85" s="45" t="s">
        <v>197</v>
      </c>
      <c r="B85" s="45"/>
      <c r="C85" s="45"/>
      <c r="D85" s="45"/>
      <c r="E85" s="45"/>
      <c r="F85" s="21" t="n">
        <f aca="false">SQRT(F83)</f>
        <v>2.34946802489415</v>
      </c>
      <c r="G85" s="21"/>
      <c r="H85" s="21"/>
      <c r="I85" s="21" t="n">
        <f aca="false">SQRT(I83)</f>
        <v>6.42028036770981</v>
      </c>
      <c r="J85" s="21"/>
      <c r="K85" s="21"/>
      <c r="L85" s="21" t="n">
        <f aca="false">SQRT(L83)</f>
        <v>10.5919780966541</v>
      </c>
      <c r="M85" s="21"/>
      <c r="N85" s="21"/>
    </row>
    <row r="86" customFormat="false" ht="15" hidden="false" customHeight="true" outlineLevel="0" collapsed="false">
      <c r="A86" s="45" t="s">
        <v>198</v>
      </c>
      <c r="B86" s="45"/>
      <c r="C86" s="45"/>
      <c r="D86" s="45"/>
      <c r="E86" s="45"/>
      <c r="F86" s="22" t="n">
        <f aca="false">F84/F81</f>
        <v>1.02934130586868</v>
      </c>
      <c r="G86" s="22"/>
      <c r="H86" s="22"/>
      <c r="I86" s="22" t="n">
        <f aca="false">I84/I81</f>
        <v>1.09462048939936</v>
      </c>
      <c r="J86" s="22"/>
      <c r="K86" s="22"/>
      <c r="L86" s="22" t="n">
        <f aca="false">L84/L81</f>
        <v>1.10512191586524</v>
      </c>
      <c r="M86" s="22"/>
      <c r="N86" s="22"/>
    </row>
    <row r="87" customFormat="false" ht="15" hidden="false" customHeight="true" outlineLevel="0" collapsed="false">
      <c r="A87" s="45" t="s">
        <v>199</v>
      </c>
      <c r="B87" s="45"/>
      <c r="C87" s="45"/>
      <c r="D87" s="45"/>
      <c r="E87" s="45"/>
      <c r="F87" s="21" t="n">
        <f aca="false">SUM($D$9:$D$23)</f>
        <v>9.35154464470034</v>
      </c>
      <c r="G87" s="21"/>
      <c r="H87" s="21"/>
      <c r="I87" s="21" t="n">
        <f aca="false">SUM($I$9:$I$52)</f>
        <v>23.3273216322565</v>
      </c>
      <c r="J87" s="21"/>
      <c r="K87" s="21"/>
      <c r="L87" s="21" t="n">
        <f aca="false">SUM($N$9:$N$74)</f>
        <v>47.8004576627818</v>
      </c>
      <c r="M87" s="21"/>
      <c r="N87" s="21"/>
    </row>
    <row r="88" customFormat="false" ht="25.35" hidden="false" customHeight="true" outlineLevel="0" collapsed="false">
      <c r="A88" s="45" t="s">
        <v>200</v>
      </c>
      <c r="B88" s="45"/>
      <c r="C88" s="45"/>
      <c r="D88" s="45"/>
      <c r="E88" s="45"/>
      <c r="F88" s="46" t="n">
        <v>2.34472433236585</v>
      </c>
      <c r="G88" s="46"/>
      <c r="H88" s="46"/>
      <c r="I88" s="46" t="n">
        <v>6.3935419107137</v>
      </c>
      <c r="J88" s="46"/>
      <c r="K88" s="46"/>
      <c r="L88" s="46" t="n">
        <v>10.5757767766034</v>
      </c>
      <c r="M88" s="46"/>
      <c r="N88" s="46"/>
    </row>
    <row r="89" customFormat="false" ht="15" hidden="false" customHeight="true" outlineLevel="0" collapsed="false">
      <c r="A89" s="45" t="s">
        <v>201</v>
      </c>
      <c r="B89" s="45"/>
      <c r="C89" s="45"/>
      <c r="D89" s="45"/>
      <c r="E89" s="45"/>
      <c r="F89" s="46" t="n">
        <v>0.174104002646758</v>
      </c>
      <c r="G89" s="46"/>
      <c r="H89" s="46"/>
      <c r="I89" s="46" t="n">
        <v>0.464843763316733</v>
      </c>
      <c r="J89" s="46"/>
      <c r="K89" s="46"/>
      <c r="L89" s="46" t="n">
        <v>0.750973729318065</v>
      </c>
      <c r="M89" s="46"/>
      <c r="N89" s="46"/>
    </row>
    <row r="90" customFormat="false" ht="25.35" hidden="false" customHeight="true" outlineLevel="0" collapsed="false">
      <c r="A90" s="45" t="s">
        <v>202</v>
      </c>
      <c r="B90" s="45"/>
      <c r="C90" s="45"/>
      <c r="D90" s="45"/>
      <c r="E90" s="45"/>
      <c r="F90" s="47" t="n">
        <v>75.25</v>
      </c>
      <c r="G90" s="47"/>
      <c r="H90" s="47"/>
      <c r="I90" s="47" t="n">
        <v>91.05</v>
      </c>
      <c r="J90" s="47"/>
      <c r="K90" s="47"/>
      <c r="L90" s="47" t="n">
        <v>84.75</v>
      </c>
      <c r="M90" s="47"/>
      <c r="N90" s="47"/>
    </row>
  </sheetData>
  <mergeCells count="66">
    <mergeCell ref="A1:O1"/>
    <mergeCell ref="A2:O2"/>
    <mergeCell ref="A3:O3"/>
    <mergeCell ref="A4:O4"/>
    <mergeCell ref="A6:D6"/>
    <mergeCell ref="F6:I6"/>
    <mergeCell ref="K6:N6"/>
    <mergeCell ref="A7:B7"/>
    <mergeCell ref="C7:D7"/>
    <mergeCell ref="F7:G7"/>
    <mergeCell ref="H7:I7"/>
    <mergeCell ref="K7:L7"/>
    <mergeCell ref="M7:N7"/>
    <mergeCell ref="A77:O77"/>
    <mergeCell ref="A78:E78"/>
    <mergeCell ref="F78:H78"/>
    <mergeCell ref="I78:K78"/>
    <mergeCell ref="L78:N78"/>
    <mergeCell ref="A79:E79"/>
    <mergeCell ref="F79:H79"/>
    <mergeCell ref="I79:K79"/>
    <mergeCell ref="L79:N79"/>
    <mergeCell ref="A80:E80"/>
    <mergeCell ref="F80:H80"/>
    <mergeCell ref="I80:K80"/>
    <mergeCell ref="L80:N80"/>
    <mergeCell ref="A81:E81"/>
    <mergeCell ref="F81:H81"/>
    <mergeCell ref="I81:K81"/>
    <mergeCell ref="L81:N81"/>
    <mergeCell ref="A82:E82"/>
    <mergeCell ref="F82:H82"/>
    <mergeCell ref="I82:K82"/>
    <mergeCell ref="L82:N82"/>
    <mergeCell ref="A83:E83"/>
    <mergeCell ref="F83:H83"/>
    <mergeCell ref="I83:K83"/>
    <mergeCell ref="L83:N83"/>
    <mergeCell ref="A84:E84"/>
    <mergeCell ref="F84:H84"/>
    <mergeCell ref="I84:K84"/>
    <mergeCell ref="L84:N84"/>
    <mergeCell ref="A85:E85"/>
    <mergeCell ref="F85:H85"/>
    <mergeCell ref="I85:K85"/>
    <mergeCell ref="L85:N85"/>
    <mergeCell ref="A86:E86"/>
    <mergeCell ref="F86:H86"/>
    <mergeCell ref="I86:K86"/>
    <mergeCell ref="L86:N86"/>
    <mergeCell ref="A87:E87"/>
    <mergeCell ref="F87:H87"/>
    <mergeCell ref="I87:K87"/>
    <mergeCell ref="L87:N87"/>
    <mergeCell ref="A88:E88"/>
    <mergeCell ref="F88:H88"/>
    <mergeCell ref="I88:K88"/>
    <mergeCell ref="L88:N88"/>
    <mergeCell ref="A89:E89"/>
    <mergeCell ref="F89:H89"/>
    <mergeCell ref="I89:K89"/>
    <mergeCell ref="L89:N89"/>
    <mergeCell ref="A90:E90"/>
    <mergeCell ref="F90:H90"/>
    <mergeCell ref="I90:K90"/>
    <mergeCell ref="L90:N90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203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A5" s="13" t="s">
        <v>59</v>
      </c>
      <c r="B5" s="13" t="s">
        <v>204</v>
      </c>
      <c r="C5" s="44" t="s">
        <v>92</v>
      </c>
      <c r="D5" s="44"/>
      <c r="E5" s="44" t="s">
        <v>93</v>
      </c>
      <c r="F5" s="44"/>
      <c r="G5" s="44" t="s">
        <v>94</v>
      </c>
      <c r="H5" s="44"/>
    </row>
    <row r="6" customFormat="false" ht="15" hidden="false" customHeight="false" outlineLevel="0" collapsed="false">
      <c r="A6" s="13"/>
      <c r="B6" s="13"/>
      <c r="C6" s="40" t="s">
        <v>205</v>
      </c>
      <c r="D6" s="40" t="s">
        <v>206</v>
      </c>
      <c r="E6" s="40" t="s">
        <v>205</v>
      </c>
      <c r="F6" s="40" t="s">
        <v>206</v>
      </c>
      <c r="G6" s="40" t="s">
        <v>205</v>
      </c>
      <c r="H6" s="40" t="s">
        <v>206</v>
      </c>
    </row>
    <row r="7" customFormat="false" ht="15" hidden="false" customHeight="false" outlineLevel="0" collapsed="false">
      <c r="A7" s="9" t="n">
        <v>1</v>
      </c>
      <c r="B7" s="10" t="s">
        <v>207</v>
      </c>
      <c r="C7" s="31" t="n">
        <f aca="false">ThongKe!C10</f>
        <v>5.52</v>
      </c>
      <c r="D7" s="31" t="n">
        <f aca="false">ThongKe!C13</f>
        <v>0.246379849628638</v>
      </c>
      <c r="E7" s="31" t="n">
        <f aca="false">ThongKe!D10</f>
        <v>41.22</v>
      </c>
      <c r="F7" s="31" t="n">
        <f aca="false">ThongKe!D13</f>
        <v>0.703753285511824</v>
      </c>
      <c r="G7" s="31" t="n">
        <f aca="false">ThongKe!E10</f>
        <v>112.19</v>
      </c>
      <c r="H7" s="31" t="n">
        <f aca="false">ThongKe!E13</f>
        <v>1.134820325742</v>
      </c>
    </row>
    <row r="8" customFormat="false" ht="15" hidden="false" customHeight="false" outlineLevel="0" collapsed="false">
      <c r="A8" s="9" t="n">
        <v>2</v>
      </c>
      <c r="B8" s="10" t="s">
        <v>208</v>
      </c>
      <c r="C8" s="41" t="n">
        <f aca="false">ThongKe!C20</f>
        <v>0.552</v>
      </c>
      <c r="D8" s="31" t="n">
        <f aca="false">ThongKe!C21</f>
        <v>0.0246379849628638</v>
      </c>
      <c r="E8" s="41" t="n">
        <f aca="false">ThongKe!D20</f>
        <v>4.122</v>
      </c>
      <c r="F8" s="31" t="n">
        <f aca="false">ThongKe!D21</f>
        <v>0.0703753285511824</v>
      </c>
      <c r="G8" s="41" t="n">
        <f aca="false">ThongKe!E20</f>
        <v>11.219</v>
      </c>
      <c r="H8" s="31" t="n">
        <f aca="false">ThongKe!E21</f>
        <v>0.1134820325742</v>
      </c>
    </row>
    <row r="9" customFormat="false" ht="15" hidden="false" customHeight="false" outlineLevel="0" collapsed="false">
      <c r="A9" s="9" t="n">
        <v>3</v>
      </c>
      <c r="B9" s="10" t="s">
        <v>209</v>
      </c>
      <c r="C9" s="31" t="n">
        <f aca="false">ThongKe!C24</f>
        <v>4.5</v>
      </c>
      <c r="D9" s="31" t="n">
        <f aca="false">ThongKe!C25</f>
        <v>0.670820393249937</v>
      </c>
      <c r="E9" s="31" t="n">
        <f aca="false">ThongKe!D24</f>
        <v>43.7</v>
      </c>
      <c r="F9" s="31" t="n">
        <f aca="false">ThongKe!D25</f>
        <v>2.09045449603669</v>
      </c>
      <c r="G9" s="31" t="n">
        <f aca="false">ThongKe!E24</f>
        <v>108.5</v>
      </c>
      <c r="H9" s="31" t="n">
        <f aca="false">ThongKe!E25</f>
        <v>3.29393381840012</v>
      </c>
    </row>
    <row r="10" customFormat="false" ht="15" hidden="false" customHeight="false" outlineLevel="0" collapsed="false">
      <c r="A10" s="9" t="n">
        <v>4</v>
      </c>
      <c r="B10" s="10" t="s">
        <v>112</v>
      </c>
      <c r="C10" s="31" t="n">
        <f aca="false">ThongKe!C11</f>
        <v>2.46379849628638</v>
      </c>
      <c r="D10" s="31"/>
      <c r="E10" s="31" t="n">
        <f aca="false">ThongKe!D11</f>
        <v>7.03753285511824</v>
      </c>
      <c r="F10" s="31"/>
      <c r="G10" s="31" t="n">
        <f aca="false">ThongKe!E11</f>
        <v>11.34820325742</v>
      </c>
      <c r="H10" s="31"/>
    </row>
    <row r="11" customFormat="false" ht="15" hidden="false" customHeight="false" outlineLevel="0" collapsed="false">
      <c r="A11" s="9" t="n">
        <v>5</v>
      </c>
      <c r="B11" s="10" t="s">
        <v>210</v>
      </c>
      <c r="C11" s="31" t="n">
        <f aca="false">ThongKe!C14</f>
        <v>2.34946802489415</v>
      </c>
      <c r="D11" s="31"/>
      <c r="E11" s="31" t="n">
        <f aca="false">ThongKe!D14</f>
        <v>6.42028036770981</v>
      </c>
      <c r="F11" s="31"/>
      <c r="G11" s="31" t="n">
        <f aca="false">ThongKe!E14</f>
        <v>10.5919780966541</v>
      </c>
      <c r="H11" s="31"/>
    </row>
    <row r="12" customFormat="false" ht="15" hidden="false" customHeight="false" outlineLevel="0" collapsed="false">
      <c r="A12" s="9" t="n">
        <v>6</v>
      </c>
      <c r="B12" s="10" t="s">
        <v>122</v>
      </c>
      <c r="C12" s="41" t="n">
        <f aca="false">ThongKe!C16</f>
        <v>1.09969257795345</v>
      </c>
      <c r="D12" s="31"/>
      <c r="E12" s="41" t="n">
        <f aca="false">ThongKe!D16</f>
        <v>1.20152519861399</v>
      </c>
      <c r="F12" s="31"/>
      <c r="G12" s="41" t="n">
        <f aca="false">ThongKe!E16</f>
        <v>1.14788944800532</v>
      </c>
      <c r="H12" s="31"/>
    </row>
    <row r="13" customFormat="false" ht="15" hidden="false" customHeight="false" outlineLevel="0" collapsed="false">
      <c r="A13" s="9" t="n">
        <v>7</v>
      </c>
      <c r="B13" s="10" t="s">
        <v>211</v>
      </c>
      <c r="C13" s="41" t="n">
        <f aca="false">ThongKe!C18</f>
        <v>0.467606392320491</v>
      </c>
      <c r="D13" s="31"/>
      <c r="E13" s="41" t="n">
        <f aca="false">ThongKe!D18</f>
        <v>0.167864504679857</v>
      </c>
      <c r="F13" s="31"/>
      <c r="G13" s="41" t="n">
        <f aca="false">ThongKe!E18</f>
        <v>0.298311688451079</v>
      </c>
      <c r="H13" s="31"/>
    </row>
    <row r="14" customFormat="false" ht="15" hidden="false" customHeight="false" outlineLevel="0" collapsed="false">
      <c r="A14" s="9" t="n">
        <v>8</v>
      </c>
      <c r="B14" s="10" t="s">
        <v>212</v>
      </c>
      <c r="C14" s="31" t="n">
        <f aca="false">ThongKe!C29</f>
        <v>-1.42730226298942</v>
      </c>
      <c r="D14" s="31"/>
      <c r="E14" s="31" t="n">
        <f aca="false">ThongKe!D29</f>
        <v>1.12434156509892</v>
      </c>
      <c r="F14" s="31"/>
      <c r="G14" s="31" t="n">
        <f aca="false">ThongKe!E29</f>
        <v>-1.05914658529521</v>
      </c>
      <c r="H14" s="31"/>
    </row>
    <row r="15" customFormat="false" ht="15" hidden="false" customHeight="false" outlineLevel="0" collapsed="false">
      <c r="A15" s="9" t="n">
        <v>9</v>
      </c>
      <c r="B15" s="10" t="s">
        <v>213</v>
      </c>
      <c r="C15" s="31" t="n">
        <f aca="false">ThongKe!C41</f>
        <v>28.2520436749646</v>
      </c>
      <c r="D15" s="26" t="n">
        <f aca="false">ThongKe!C44</f>
        <v>10</v>
      </c>
      <c r="E15" s="31" t="n">
        <f aca="false">ThongKe!D41</f>
        <v>43.091910542738</v>
      </c>
      <c r="F15" s="26" t="n">
        <f aca="false">ThongKe!D44</f>
        <v>27</v>
      </c>
      <c r="G15" s="31" t="n">
        <f aca="false">ThongKe!E41</f>
        <v>34.111203549906</v>
      </c>
      <c r="H15" s="26" t="n">
        <f aca="false">ThongKe!E44</f>
        <v>40</v>
      </c>
    </row>
    <row r="16" customFormat="false" ht="15" hidden="false" customHeight="false" outlineLevel="0" collapsed="false">
      <c r="A16" s="9" t="n">
        <v>10</v>
      </c>
      <c r="B16" s="10" t="s">
        <v>214</v>
      </c>
      <c r="C16" s="31" t="n">
        <f aca="false">ThongKe!C42</f>
        <v>35.5478237618148</v>
      </c>
      <c r="D16" s="26" t="n">
        <f aca="false">ThongKe!C44</f>
        <v>10</v>
      </c>
      <c r="E16" s="31" t="n">
        <f aca="false">ThongKe!D42</f>
        <v>44.562951169926</v>
      </c>
      <c r="F16" s="26" t="n">
        <f aca="false">ThongKe!D44</f>
        <v>27</v>
      </c>
      <c r="G16" s="31" t="n">
        <f aca="false">ThongKe!E42</f>
        <v>33.4484376938769</v>
      </c>
      <c r="H16" s="26" t="n">
        <f aca="false">ThongKe!E44</f>
        <v>40</v>
      </c>
    </row>
    <row r="17" customFormat="false" ht="15" hidden="false" customHeight="false" outlineLevel="0" collapsed="false">
      <c r="A17" s="9" t="n">
        <v>11</v>
      </c>
      <c r="B17" s="10" t="s">
        <v>215</v>
      </c>
      <c r="C17" s="48" t="str">
        <f aca="false">ThongKe!C49</f>
        <v>Poisson</v>
      </c>
      <c r="D17" s="31"/>
      <c r="E17" s="48" t="str">
        <f aca="false">ThongKe!D49</f>
        <v>Poisson</v>
      </c>
      <c r="F17" s="31"/>
      <c r="G17" s="48" t="str">
        <f aca="false">ThongKe!E49</f>
        <v>Gauss</v>
      </c>
      <c r="H17" s="31"/>
    </row>
    <row r="18" customFormat="false" ht="15" hidden="false" customHeight="false" outlineLevel="0" collapsed="false">
      <c r="A18" s="9" t="n">
        <v>12</v>
      </c>
      <c r="B18" s="10" t="s">
        <v>216</v>
      </c>
      <c r="C18" s="41" t="n">
        <f aca="false">ThongKe!C37</f>
        <v>0.678266820048546</v>
      </c>
      <c r="D18" s="31"/>
      <c r="E18" s="41" t="n">
        <f aca="false">ThongKe!D37</f>
        <v>0.5451121916877</v>
      </c>
      <c r="F18" s="31"/>
      <c r="G18" s="41" t="n">
        <f aca="false">ThongKe!E37</f>
        <v>0.114866427916711</v>
      </c>
      <c r="H18" s="31"/>
    </row>
    <row r="20" customFormat="false" ht="15" hidden="false" customHeight="true" outlineLevel="0" collapsed="false">
      <c r="A20" s="12" t="s">
        <v>217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B21" s="13" t="s">
        <v>218</v>
      </c>
      <c r="C21" s="13" t="s">
        <v>219</v>
      </c>
      <c r="D21" s="13" t="s">
        <v>220</v>
      </c>
      <c r="E21" s="13" t="s">
        <v>221</v>
      </c>
    </row>
    <row r="22" customFormat="false" ht="15" hidden="false" customHeight="false" outlineLevel="0" collapsed="false">
      <c r="B22" s="45" t="s">
        <v>222</v>
      </c>
      <c r="C22" s="46" t="n">
        <v>11.0646679879849</v>
      </c>
      <c r="D22" s="49" t="n">
        <v>7</v>
      </c>
      <c r="E22" s="22" t="n">
        <f aca="false">CHIDIST(C22,D22)</f>
        <v>0.135823003455106</v>
      </c>
    </row>
    <row r="23" customFormat="false" ht="15" hidden="false" customHeight="false" outlineLevel="0" collapsed="false">
      <c r="B23" s="45" t="s">
        <v>223</v>
      </c>
      <c r="C23" s="46" t="n">
        <v>10.4758605749493</v>
      </c>
      <c r="D23" s="49" t="n">
        <v>6</v>
      </c>
      <c r="E23" s="22" t="n">
        <f aca="false">CHIDIST(C23,D23)</f>
        <v>0.105990470150798</v>
      </c>
    </row>
    <row r="24" customFormat="false" ht="15" hidden="false" customHeight="false" outlineLevel="0" collapsed="false">
      <c r="B24" s="45" t="s">
        <v>224</v>
      </c>
      <c r="C24" s="46" t="n">
        <v>17.6162106117807</v>
      </c>
      <c r="D24" s="49" t="n">
        <v>13</v>
      </c>
      <c r="E24" s="22" t="n">
        <f aca="false">CHIDIST(C24,D24)</f>
        <v>0.172642748896556</v>
      </c>
    </row>
    <row r="25" customFormat="false" ht="15" hidden="false" customHeight="false" outlineLevel="0" collapsed="false">
      <c r="B25" s="45" t="s">
        <v>225</v>
      </c>
      <c r="C25" s="46" t="n">
        <v>18.4134570578923</v>
      </c>
      <c r="D25" s="49" t="n">
        <v>13</v>
      </c>
      <c r="E25" s="22" t="n">
        <f aca="false">CHIDIST(C25,D25)</f>
        <v>0.142442270195185</v>
      </c>
    </row>
    <row r="26" customFormat="false" ht="15" hidden="false" customHeight="false" outlineLevel="0" collapsed="false">
      <c r="B26" s="45" t="s">
        <v>226</v>
      </c>
      <c r="C26" s="46" t="n">
        <v>10.2004376068694</v>
      </c>
      <c r="D26" s="49" t="n">
        <v>13</v>
      </c>
      <c r="E26" s="22" t="n">
        <f aca="false">CHIDIST(C26,D26)</f>
        <v>0.677467474186054</v>
      </c>
    </row>
    <row r="27" customFormat="false" ht="15" hidden="false" customHeight="false" outlineLevel="0" collapsed="false">
      <c r="B27" s="45" t="s">
        <v>227</v>
      </c>
      <c r="C27" s="46" t="n">
        <v>16.8766390572448</v>
      </c>
      <c r="D27" s="49" t="n">
        <v>14</v>
      </c>
      <c r="E27" s="22" t="n">
        <f aca="false">CHIDIST(C27,D27)</f>
        <v>0.262811439800254</v>
      </c>
    </row>
    <row r="29" customFormat="false" ht="15" hidden="false" customHeight="true" outlineLevel="0" collapsed="false">
      <c r="A29" s="12" t="s">
        <v>228</v>
      </c>
      <c r="B29" s="12"/>
      <c r="C29" s="12"/>
      <c r="D29" s="12"/>
      <c r="E29" s="12"/>
      <c r="F29" s="12"/>
      <c r="G29" s="12"/>
      <c r="H29" s="12"/>
    </row>
    <row r="30" customFormat="false" ht="31.5" hidden="false" customHeight="true" outlineLevel="0" collapsed="false">
      <c r="A30" s="50" t="s">
        <v>229</v>
      </c>
      <c r="B30" s="50"/>
      <c r="C30" s="50"/>
      <c r="D30" s="50"/>
      <c r="E30" s="50"/>
      <c r="F30" s="50"/>
      <c r="G30" s="50"/>
      <c r="H30" s="50"/>
    </row>
    <row r="31" customFormat="false" ht="31.5" hidden="false" customHeight="true" outlineLevel="0" collapsed="false">
      <c r="A31" s="50" t="s">
        <v>230</v>
      </c>
      <c r="B31" s="50"/>
      <c r="C31" s="50"/>
      <c r="D31" s="50"/>
      <c r="E31" s="50"/>
      <c r="F31" s="50"/>
      <c r="G31" s="50"/>
      <c r="H31" s="50"/>
    </row>
    <row r="32" customFormat="false" ht="31.5" hidden="false" customHeight="true" outlineLevel="0" collapsed="false">
      <c r="A32" s="50" t="s">
        <v>231</v>
      </c>
      <c r="B32" s="50"/>
      <c r="C32" s="50"/>
      <c r="D32" s="50"/>
      <c r="E32" s="50"/>
      <c r="F32" s="50"/>
      <c r="G32" s="50"/>
      <c r="H32" s="50"/>
    </row>
    <row r="33" customFormat="false" ht="31.5" hidden="false" customHeight="true" outlineLevel="0" collapsed="false">
      <c r="A33" s="50" t="s">
        <v>232</v>
      </c>
      <c r="B33" s="50"/>
      <c r="C33" s="50"/>
      <c r="D33" s="50"/>
      <c r="E33" s="50"/>
      <c r="F33" s="50"/>
      <c r="G33" s="50"/>
      <c r="H33" s="50"/>
    </row>
    <row r="34" customFormat="false" ht="31.5" hidden="false" customHeight="true" outlineLevel="0" collapsed="false">
      <c r="A34" s="50" t="s">
        <v>233</v>
      </c>
      <c r="B34" s="50"/>
      <c r="C34" s="50"/>
      <c r="D34" s="50"/>
      <c r="E34" s="50"/>
      <c r="F34" s="50"/>
      <c r="G34" s="50"/>
      <c r="H34" s="50"/>
    </row>
    <row r="35" customFormat="false" ht="31.5" hidden="false" customHeight="true" outlineLevel="0" collapsed="false">
      <c r="A35" s="50" t="s">
        <v>234</v>
      </c>
      <c r="B35" s="50"/>
      <c r="C35" s="50"/>
      <c r="D35" s="50"/>
      <c r="E35" s="50"/>
      <c r="F35" s="50"/>
      <c r="G35" s="50"/>
      <c r="H35" s="50"/>
    </row>
  </sheetData>
  <mergeCells count="16">
    <mergeCell ref="A1:H1"/>
    <mergeCell ref="A2:H2"/>
    <mergeCell ref="A3:H3"/>
    <mergeCell ref="A5:A6"/>
    <mergeCell ref="B5:B6"/>
    <mergeCell ref="C5:D5"/>
    <mergeCell ref="E5:F5"/>
    <mergeCell ref="G5:H5"/>
    <mergeCell ref="A20:H20"/>
    <mergeCell ref="A29:H29"/>
    <mergeCell ref="A30:H30"/>
    <mergeCell ref="A31:H31"/>
    <mergeCell ref="A32:H32"/>
    <mergeCell ref="A33:H33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235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204.45" hidden="false" customHeight="false" outlineLevel="0" collapsed="false">
      <c r="A4" s="51" t="s">
        <v>236</v>
      </c>
    </row>
    <row r="6" customFormat="false" ht="26.85" hidden="false" customHeight="false" outlineLevel="0" collapsed="false">
      <c r="A6" s="13" t="s">
        <v>59</v>
      </c>
      <c r="B6" s="13" t="s">
        <v>60</v>
      </c>
      <c r="C6" s="13" t="s">
        <v>61</v>
      </c>
      <c r="D6" s="13" t="s">
        <v>237</v>
      </c>
      <c r="E6" s="13" t="s">
        <v>238</v>
      </c>
      <c r="F6" s="13" t="s">
        <v>64</v>
      </c>
    </row>
    <row r="7" customFormat="false" ht="15" hidden="false" customHeight="false" outlineLevel="0" collapsed="false">
      <c r="A7" s="9" t="n">
        <v>1</v>
      </c>
      <c r="B7" s="10" t="s">
        <v>65</v>
      </c>
      <c r="C7" s="9" t="s">
        <v>66</v>
      </c>
      <c r="D7" s="5" t="s">
        <v>239</v>
      </c>
      <c r="E7" s="14" t="s">
        <v>240</v>
      </c>
      <c r="F7" s="9"/>
    </row>
    <row r="8" customFormat="false" ht="15" hidden="false" customHeight="false" outlineLevel="0" collapsed="false">
      <c r="A8" s="9" t="n">
        <v>2</v>
      </c>
      <c r="B8" s="10" t="s">
        <v>68</v>
      </c>
      <c r="C8" s="9" t="s">
        <v>69</v>
      </c>
      <c r="D8" s="5" t="s">
        <v>241</v>
      </c>
      <c r="E8" s="14" t="s">
        <v>240</v>
      </c>
      <c r="F8" s="9"/>
    </row>
    <row r="9" customFormat="false" ht="15" hidden="false" customHeight="false" outlineLevel="0" collapsed="false">
      <c r="A9" s="9" t="n">
        <v>3</v>
      </c>
      <c r="B9" s="10" t="s">
        <v>70</v>
      </c>
      <c r="C9" s="9" t="s">
        <v>71</v>
      </c>
      <c r="D9" s="5" t="s">
        <v>242</v>
      </c>
      <c r="E9" s="14" t="s">
        <v>240</v>
      </c>
      <c r="F9" s="9"/>
    </row>
    <row r="10" customFormat="false" ht="15" hidden="false" customHeight="false" outlineLevel="0" collapsed="false">
      <c r="A10" s="9" t="n">
        <v>4</v>
      </c>
      <c r="B10" s="10" t="s">
        <v>72</v>
      </c>
      <c r="C10" s="9" t="s">
        <v>73</v>
      </c>
      <c r="D10" s="5" t="s">
        <v>243</v>
      </c>
      <c r="E10" s="14" t="s">
        <v>240</v>
      </c>
      <c r="F10" s="9"/>
    </row>
    <row r="11" customFormat="false" ht="15" hidden="false" customHeight="false" outlineLevel="0" collapsed="false">
      <c r="A11" s="9" t="n">
        <v>5</v>
      </c>
      <c r="B11" s="10" t="s">
        <v>74</v>
      </c>
      <c r="C11" s="9" t="s">
        <v>75</v>
      </c>
      <c r="D11" s="5" t="s">
        <v>244</v>
      </c>
      <c r="E11" s="14" t="s">
        <v>240</v>
      </c>
      <c r="F11" s="9"/>
    </row>
    <row r="12" customFormat="false" ht="15" hidden="false" customHeight="false" outlineLevel="0" collapsed="false">
      <c r="A12" s="9" t="n">
        <v>6</v>
      </c>
      <c r="B12" s="10" t="s">
        <v>76</v>
      </c>
      <c r="C12" s="9" t="s">
        <v>77</v>
      </c>
      <c r="D12" s="5" t="s">
        <v>245</v>
      </c>
      <c r="E12" s="14" t="s">
        <v>240</v>
      </c>
      <c r="F12" s="9"/>
    </row>
    <row r="13" customFormat="false" ht="15" hidden="false" customHeight="false" outlineLevel="0" collapsed="false">
      <c r="A13" s="9" t="n">
        <v>7</v>
      </c>
      <c r="B13" s="10" t="s">
        <v>78</v>
      </c>
      <c r="C13" s="9" t="s">
        <v>79</v>
      </c>
      <c r="D13" s="5" t="s">
        <v>246</v>
      </c>
      <c r="E13" s="14" t="s">
        <v>240</v>
      </c>
      <c r="F13" s="9"/>
    </row>
    <row r="14" customFormat="false" ht="15" hidden="false" customHeight="false" outlineLevel="0" collapsed="false">
      <c r="A14" s="9" t="n">
        <v>8</v>
      </c>
      <c r="B14" s="10" t="s">
        <v>80</v>
      </c>
      <c r="C14" s="9" t="s">
        <v>81</v>
      </c>
      <c r="D14" s="5" t="s">
        <v>247</v>
      </c>
      <c r="E14" s="14" t="s">
        <v>240</v>
      </c>
      <c r="F14" s="9"/>
    </row>
    <row r="15" customFormat="false" ht="15" hidden="false" customHeight="false" outlineLevel="0" collapsed="false">
      <c r="A15" s="9" t="n">
        <v>9</v>
      </c>
      <c r="B15" s="10" t="s">
        <v>82</v>
      </c>
      <c r="C15" s="9" t="s">
        <v>83</v>
      </c>
      <c r="D15" s="5" t="s">
        <v>248</v>
      </c>
      <c r="E15" s="14" t="s">
        <v>240</v>
      </c>
      <c r="F15" s="9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&amp;CTHVLHĐ-GM-N3-01 – &amp;A – 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2026-10-10T02:24:34Z</dcterms:created>
  <dc:creator>openpyxl</dc:creator>
  <dc:description/>
  <dc:language>en-US</dc:language>
  <cp:lastModifiedBy/>
  <dcterms:modified xsi:type="dcterms:W3CDTF">2026-10-10T09:24:39Z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